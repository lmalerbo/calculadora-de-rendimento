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AG\DEPTO. MOTOMECANIZAÇÃO\Relatórios Gerenciais\2026\SEQUENCIAS\"/>
    </mc:Choice>
  </mc:AlternateContent>
  <bookViews>
    <workbookView xWindow="0" yWindow="0" windowWidth="23940" windowHeight="9210"/>
  </bookViews>
  <sheets>
    <sheet name="JUNHO" sheetId="1" r:id="rId1"/>
    <sheet name="JULH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2" i="2" l="1"/>
  <c r="C129" i="2"/>
  <c r="B129" i="2"/>
  <c r="F127" i="2"/>
  <c r="G127" i="2" s="1"/>
  <c r="D127" i="2"/>
  <c r="E127" i="2" s="1"/>
  <c r="F126" i="2"/>
  <c r="D126" i="2"/>
  <c r="E126" i="2" s="1"/>
  <c r="F125" i="2"/>
  <c r="D125" i="2"/>
  <c r="E125" i="2" s="1"/>
  <c r="F124" i="2"/>
  <c r="D124" i="2"/>
  <c r="E124" i="2" s="1"/>
  <c r="F123" i="2"/>
  <c r="D123" i="2"/>
  <c r="E123" i="2" s="1"/>
  <c r="F122" i="2"/>
  <c r="D122" i="2"/>
  <c r="E122" i="2" s="1"/>
  <c r="F121" i="2"/>
  <c r="D121" i="2"/>
  <c r="E121" i="2" s="1"/>
  <c r="F120" i="2"/>
  <c r="D120" i="2"/>
  <c r="E120" i="2" s="1"/>
  <c r="F119" i="2"/>
  <c r="G119" i="2" s="1"/>
  <c r="D119" i="2"/>
  <c r="E119" i="2" s="1"/>
  <c r="F118" i="2"/>
  <c r="D118" i="2"/>
  <c r="E118" i="2" s="1"/>
  <c r="F117" i="2"/>
  <c r="D117" i="2"/>
  <c r="E117" i="2" s="1"/>
  <c r="F116" i="2"/>
  <c r="D116" i="2"/>
  <c r="H132" i="2" l="1"/>
  <c r="D129" i="2"/>
  <c r="F129" i="2"/>
  <c r="G120" i="2"/>
  <c r="G121" i="2"/>
  <c r="G122" i="2"/>
  <c r="G123" i="2"/>
  <c r="G124" i="2"/>
  <c r="G125" i="2"/>
  <c r="I132" i="2"/>
  <c r="J132" i="2" s="1"/>
  <c r="G126" i="2"/>
  <c r="G117" i="2"/>
  <c r="G118" i="2"/>
  <c r="E116" i="2"/>
  <c r="E129" i="2" s="1"/>
  <c r="G129" i="2" s="1"/>
  <c r="G116" i="2" l="1"/>
  <c r="G110" i="2" l="1"/>
  <c r="C107" i="2"/>
  <c r="B107" i="2"/>
  <c r="H110" i="2" s="1"/>
  <c r="F105" i="2"/>
  <c r="D105" i="2"/>
  <c r="E105" i="2" s="1"/>
  <c r="F104" i="2"/>
  <c r="D104" i="2"/>
  <c r="E104" i="2" s="1"/>
  <c r="F103" i="2"/>
  <c r="D103" i="2"/>
  <c r="E103" i="2" s="1"/>
  <c r="F102" i="2"/>
  <c r="D102" i="2"/>
  <c r="E102" i="2" s="1"/>
  <c r="F101" i="2"/>
  <c r="D101" i="2"/>
  <c r="E101" i="2" s="1"/>
  <c r="F100" i="2"/>
  <c r="D100" i="2"/>
  <c r="E100" i="2" s="1"/>
  <c r="F99" i="2"/>
  <c r="F107" i="2" s="1"/>
  <c r="D99" i="2"/>
  <c r="D107" i="2" s="1"/>
  <c r="G191" i="1"/>
  <c r="C188" i="1"/>
  <c r="B188" i="1"/>
  <c r="F186" i="1"/>
  <c r="D186" i="1"/>
  <c r="E186" i="1" s="1"/>
  <c r="F185" i="1"/>
  <c r="D185" i="1"/>
  <c r="E185" i="1" s="1"/>
  <c r="F184" i="1"/>
  <c r="D184" i="1"/>
  <c r="E184" i="1" s="1"/>
  <c r="F183" i="1"/>
  <c r="D183" i="1"/>
  <c r="E183" i="1" s="1"/>
  <c r="F182" i="1"/>
  <c r="D182" i="1"/>
  <c r="E182" i="1" s="1"/>
  <c r="F181" i="1"/>
  <c r="D181" i="1"/>
  <c r="E181" i="1" s="1"/>
  <c r="F180" i="1"/>
  <c r="D180" i="1"/>
  <c r="E180" i="1" s="1"/>
  <c r="F179" i="1"/>
  <c r="D179" i="1"/>
  <c r="E179" i="1" s="1"/>
  <c r="F178" i="1"/>
  <c r="D178" i="1"/>
  <c r="E178" i="1" s="1"/>
  <c r="F177" i="1"/>
  <c r="D177" i="1"/>
  <c r="E177" i="1" s="1"/>
  <c r="F176" i="1"/>
  <c r="D176" i="1"/>
  <c r="E176" i="1" s="1"/>
  <c r="F175" i="1"/>
  <c r="D175" i="1"/>
  <c r="G93" i="2"/>
  <c r="C90" i="2"/>
  <c r="B90" i="2"/>
  <c r="H93" i="2" s="1"/>
  <c r="F88" i="2"/>
  <c r="D88" i="2"/>
  <c r="E88" i="2" s="1"/>
  <c r="F87" i="2"/>
  <c r="D87" i="2"/>
  <c r="E87" i="2" s="1"/>
  <c r="F86" i="2"/>
  <c r="D86" i="2"/>
  <c r="E86" i="2" s="1"/>
  <c r="F85" i="2"/>
  <c r="G85" i="2" s="1"/>
  <c r="D85" i="2"/>
  <c r="E85" i="2" s="1"/>
  <c r="F84" i="2"/>
  <c r="D84" i="2"/>
  <c r="E84" i="2" s="1"/>
  <c r="F83" i="2"/>
  <c r="D83" i="2"/>
  <c r="E83" i="2" s="1"/>
  <c r="F82" i="2"/>
  <c r="F90" i="2" s="1"/>
  <c r="D82" i="2"/>
  <c r="D90" i="2" s="1"/>
  <c r="D68" i="2"/>
  <c r="E68" i="2" s="1"/>
  <c r="F68" i="2"/>
  <c r="F73" i="2" s="1"/>
  <c r="D69" i="2"/>
  <c r="E69" i="2" s="1"/>
  <c r="G69" i="2" s="1"/>
  <c r="F69" i="2"/>
  <c r="D70" i="2"/>
  <c r="E70" i="2"/>
  <c r="F70" i="2"/>
  <c r="G70" i="2"/>
  <c r="D71" i="2"/>
  <c r="E71" i="2" s="1"/>
  <c r="F71" i="2"/>
  <c r="G71" i="2" s="1"/>
  <c r="B73" i="2"/>
  <c r="H76" i="2" s="1"/>
  <c r="C73" i="2"/>
  <c r="D73" i="2"/>
  <c r="G76" i="2"/>
  <c r="I110" i="2" l="1"/>
  <c r="J110" i="2" s="1"/>
  <c r="G100" i="2"/>
  <c r="G101" i="2"/>
  <c r="G102" i="2"/>
  <c r="G103" i="2"/>
  <c r="G104" i="2"/>
  <c r="G105" i="2"/>
  <c r="E99" i="2"/>
  <c r="E107" i="2" s="1"/>
  <c r="G107" i="2" s="1"/>
  <c r="G99" i="2"/>
  <c r="F188" i="1"/>
  <c r="H191" i="1"/>
  <c r="G178" i="1"/>
  <c r="D188" i="1"/>
  <c r="G180" i="1"/>
  <c r="G181" i="1"/>
  <c r="G182" i="1"/>
  <c r="G183" i="1"/>
  <c r="G184" i="1"/>
  <c r="G179" i="1"/>
  <c r="I191" i="1"/>
  <c r="J191" i="1" s="1"/>
  <c r="G185" i="1"/>
  <c r="G176" i="1"/>
  <c r="G186" i="1"/>
  <c r="G177" i="1"/>
  <c r="E175" i="1"/>
  <c r="E188" i="1" s="1"/>
  <c r="G175" i="1"/>
  <c r="I93" i="2"/>
  <c r="J93" i="2" s="1"/>
  <c r="G83" i="2"/>
  <c r="G84" i="2"/>
  <c r="G86" i="2"/>
  <c r="G87" i="2"/>
  <c r="G88" i="2"/>
  <c r="E82" i="2"/>
  <c r="E90" i="2" s="1"/>
  <c r="G90" i="2" s="1"/>
  <c r="G82" i="2"/>
  <c r="I76" i="2"/>
  <c r="J76" i="2" s="1"/>
  <c r="E73" i="2"/>
  <c r="G73" i="2" s="1"/>
  <c r="G68" i="2"/>
  <c r="G62" i="2"/>
  <c r="C59" i="2"/>
  <c r="B59" i="2"/>
  <c r="H62" i="2" s="1"/>
  <c r="F57" i="2"/>
  <c r="D57" i="2"/>
  <c r="E57" i="2" s="1"/>
  <c r="F56" i="2"/>
  <c r="D56" i="2"/>
  <c r="E56" i="2" s="1"/>
  <c r="F55" i="2"/>
  <c r="D55" i="2"/>
  <c r="E55" i="2" s="1"/>
  <c r="F54" i="2"/>
  <c r="D54" i="2"/>
  <c r="E54" i="2" s="1"/>
  <c r="E59" i="2" s="1"/>
  <c r="G48" i="2"/>
  <c r="C45" i="2"/>
  <c r="B45" i="2"/>
  <c r="F43" i="2"/>
  <c r="F45" i="2" s="1"/>
  <c r="D43" i="2"/>
  <c r="D45" i="2" s="1"/>
  <c r="G37" i="2"/>
  <c r="C34" i="2"/>
  <c r="B34" i="2"/>
  <c r="F32" i="2"/>
  <c r="D32" i="2"/>
  <c r="E32" i="2" s="1"/>
  <c r="F31" i="2"/>
  <c r="F34" i="2" s="1"/>
  <c r="I37" i="2" s="1"/>
  <c r="D31" i="2"/>
  <c r="D34" i="2" s="1"/>
  <c r="G25" i="2"/>
  <c r="C22" i="2"/>
  <c r="B22" i="2"/>
  <c r="H25" i="2" s="1"/>
  <c r="F20" i="2"/>
  <c r="F22" i="2" s="1"/>
  <c r="D20" i="2"/>
  <c r="D22" i="2" s="1"/>
  <c r="G14" i="2"/>
  <c r="F11" i="2"/>
  <c r="I14" i="2" s="1"/>
  <c r="C11" i="2"/>
  <c r="B11" i="2"/>
  <c r="F9" i="2"/>
  <c r="D9" i="2"/>
  <c r="E9" i="2" s="1"/>
  <c r="E11" i="2" s="1"/>
  <c r="K2" i="2"/>
  <c r="G188" i="1" l="1"/>
  <c r="J37" i="2"/>
  <c r="H14" i="2"/>
  <c r="D59" i="2"/>
  <c r="H37" i="2"/>
  <c r="F59" i="2"/>
  <c r="H48" i="2"/>
  <c r="G54" i="2"/>
  <c r="I62" i="2"/>
  <c r="J62" i="2" s="1"/>
  <c r="G59" i="2"/>
  <c r="G56" i="2"/>
  <c r="G57" i="2"/>
  <c r="G55" i="2"/>
  <c r="G32" i="2"/>
  <c r="I48" i="2"/>
  <c r="J48" i="2" s="1"/>
  <c r="E43" i="2"/>
  <c r="E45" i="2" s="1"/>
  <c r="G45" i="2" s="1"/>
  <c r="G43" i="2"/>
  <c r="H2" i="2"/>
  <c r="E31" i="2"/>
  <c r="E34" i="2" s="1"/>
  <c r="G34" i="2" s="1"/>
  <c r="G9" i="2"/>
  <c r="J14" i="2"/>
  <c r="I25" i="2"/>
  <c r="J25" i="2" s="1"/>
  <c r="G11" i="2"/>
  <c r="D11" i="2"/>
  <c r="E20" i="2"/>
  <c r="E22" i="2" s="1"/>
  <c r="G22" i="2" s="1"/>
  <c r="G31" i="2" l="1"/>
  <c r="G20" i="2"/>
  <c r="I2" i="2"/>
  <c r="J2" i="2" s="1"/>
  <c r="K2" i="1" l="1"/>
  <c r="D164" i="1" l="1"/>
  <c r="D163" i="1"/>
  <c r="D162" i="1"/>
  <c r="D161" i="1"/>
  <c r="D150" i="1"/>
  <c r="D149" i="1"/>
  <c r="D148" i="1"/>
  <c r="D147" i="1"/>
  <c r="D136" i="1"/>
  <c r="D135" i="1"/>
  <c r="D134" i="1"/>
  <c r="D123" i="1"/>
  <c r="D112" i="1"/>
  <c r="D111" i="1"/>
  <c r="D110" i="1"/>
  <c r="D109" i="1"/>
  <c r="D98" i="1"/>
  <c r="D97" i="1"/>
  <c r="D96" i="1"/>
  <c r="D95" i="1"/>
  <c r="D84" i="1"/>
  <c r="D83" i="1"/>
  <c r="D82" i="1"/>
  <c r="D81" i="1"/>
  <c r="D80" i="1"/>
  <c r="D69" i="1"/>
  <c r="D68" i="1"/>
  <c r="D57" i="1"/>
  <c r="D56" i="1"/>
  <c r="D55" i="1"/>
  <c r="D54" i="1"/>
  <c r="D43" i="1"/>
  <c r="D42" i="1"/>
  <c r="D31" i="1"/>
  <c r="D30" i="1"/>
  <c r="D29" i="1"/>
  <c r="D28" i="1"/>
  <c r="D17" i="1"/>
  <c r="D16" i="1"/>
  <c r="D15" i="1"/>
  <c r="D14" i="1"/>
  <c r="D13" i="1"/>
  <c r="D12" i="1"/>
  <c r="D11" i="1"/>
  <c r="D10" i="1"/>
  <c r="D9" i="1"/>
  <c r="G169" i="1"/>
  <c r="G155" i="1"/>
  <c r="G141" i="1"/>
  <c r="G128" i="1"/>
  <c r="G117" i="1"/>
  <c r="G103" i="1"/>
  <c r="G89" i="1"/>
  <c r="G74" i="1"/>
  <c r="G62" i="1"/>
  <c r="G48" i="1"/>
  <c r="G36" i="1"/>
  <c r="G22" i="1"/>
  <c r="C166" i="1" l="1"/>
  <c r="B166" i="1"/>
  <c r="H169" i="1" s="1"/>
  <c r="F164" i="1"/>
  <c r="E164" i="1"/>
  <c r="F163" i="1"/>
  <c r="E163" i="1"/>
  <c r="F162" i="1"/>
  <c r="E162" i="1"/>
  <c r="F161" i="1"/>
  <c r="C152" i="1"/>
  <c r="B152" i="1"/>
  <c r="H155" i="1" s="1"/>
  <c r="F150" i="1"/>
  <c r="E150" i="1"/>
  <c r="F149" i="1"/>
  <c r="E149" i="1"/>
  <c r="F148" i="1"/>
  <c r="E148" i="1"/>
  <c r="F147" i="1"/>
  <c r="E147" i="1"/>
  <c r="D166" i="1" l="1"/>
  <c r="G164" i="1"/>
  <c r="F166" i="1"/>
  <c r="I169" i="1" s="1"/>
  <c r="J169" i="1" s="1"/>
  <c r="G162" i="1"/>
  <c r="G163" i="1"/>
  <c r="E161" i="1"/>
  <c r="E166" i="1" s="1"/>
  <c r="D152" i="1"/>
  <c r="E152" i="1"/>
  <c r="G147" i="1"/>
  <c r="G148" i="1"/>
  <c r="G149" i="1"/>
  <c r="G150" i="1"/>
  <c r="F152" i="1"/>
  <c r="C138" i="1"/>
  <c r="B138" i="1"/>
  <c r="F136" i="1"/>
  <c r="E136" i="1"/>
  <c r="F135" i="1"/>
  <c r="E135" i="1"/>
  <c r="F134" i="1"/>
  <c r="C125" i="1"/>
  <c r="B125" i="1"/>
  <c r="H128" i="1" s="1"/>
  <c r="F123" i="1"/>
  <c r="E123" i="1"/>
  <c r="C114" i="1"/>
  <c r="B114" i="1"/>
  <c r="F112" i="1"/>
  <c r="E112" i="1"/>
  <c r="F111" i="1"/>
  <c r="E111" i="1"/>
  <c r="F110" i="1"/>
  <c r="E110" i="1"/>
  <c r="F109" i="1"/>
  <c r="E109" i="1"/>
  <c r="G166" i="1" l="1"/>
  <c r="G161" i="1"/>
  <c r="G152" i="1"/>
  <c r="I155" i="1"/>
  <c r="J155" i="1" s="1"/>
  <c r="H141" i="1"/>
  <c r="D138" i="1"/>
  <c r="G135" i="1"/>
  <c r="G136" i="1"/>
  <c r="E134" i="1"/>
  <c r="E138" i="1" s="1"/>
  <c r="F138" i="1"/>
  <c r="F125" i="1"/>
  <c r="D125" i="1"/>
  <c r="E125" i="1"/>
  <c r="G123" i="1"/>
  <c r="F114" i="1"/>
  <c r="H117" i="1"/>
  <c r="D114" i="1"/>
  <c r="E114" i="1"/>
  <c r="G110" i="1"/>
  <c r="G111" i="1"/>
  <c r="G112" i="1"/>
  <c r="G109" i="1"/>
  <c r="I141" i="1" l="1"/>
  <c r="J141" i="1" s="1"/>
  <c r="G138" i="1"/>
  <c r="G134" i="1"/>
  <c r="I128" i="1"/>
  <c r="J128" i="1" s="1"/>
  <c r="G125" i="1"/>
  <c r="G114" i="1"/>
  <c r="I117" i="1"/>
  <c r="J117" i="1" s="1"/>
  <c r="C100" i="1" l="1"/>
  <c r="B100" i="1"/>
  <c r="F98" i="1"/>
  <c r="E98" i="1"/>
  <c r="F97" i="1"/>
  <c r="E97" i="1"/>
  <c r="F96" i="1"/>
  <c r="E96" i="1"/>
  <c r="F95" i="1"/>
  <c r="D100" i="1" l="1"/>
  <c r="H103" i="1"/>
  <c r="F100" i="1"/>
  <c r="G97" i="1"/>
  <c r="G98" i="1"/>
  <c r="I103" i="1"/>
  <c r="J103" i="1" s="1"/>
  <c r="G96" i="1"/>
  <c r="E95" i="1"/>
  <c r="E100" i="1" s="1"/>
  <c r="G100" i="1" s="1"/>
  <c r="C86" i="1"/>
  <c r="B86" i="1"/>
  <c r="H89" i="1" s="1"/>
  <c r="F84" i="1"/>
  <c r="E84" i="1"/>
  <c r="F83" i="1"/>
  <c r="E83" i="1"/>
  <c r="F82" i="1"/>
  <c r="E82" i="1"/>
  <c r="F81" i="1"/>
  <c r="E81" i="1"/>
  <c r="F80" i="1"/>
  <c r="C71" i="1"/>
  <c r="B71" i="1"/>
  <c r="F69" i="1"/>
  <c r="E69" i="1"/>
  <c r="F68" i="1"/>
  <c r="E68" i="1"/>
  <c r="C59" i="1"/>
  <c r="B59" i="1"/>
  <c r="F57" i="1"/>
  <c r="E57" i="1"/>
  <c r="F56" i="1"/>
  <c r="E56" i="1"/>
  <c r="F55" i="1"/>
  <c r="E55" i="1"/>
  <c r="F54" i="1"/>
  <c r="E54" i="1"/>
  <c r="C33" i="1"/>
  <c r="C45" i="1"/>
  <c r="B45" i="1"/>
  <c r="F43" i="1"/>
  <c r="E43" i="1"/>
  <c r="F42" i="1"/>
  <c r="E42" i="1"/>
  <c r="B33" i="1"/>
  <c r="F31" i="1"/>
  <c r="E31" i="1"/>
  <c r="F30" i="1"/>
  <c r="E30" i="1"/>
  <c r="F29" i="1"/>
  <c r="E29" i="1"/>
  <c r="F28" i="1"/>
  <c r="E16" i="1"/>
  <c r="C19" i="1"/>
  <c r="B19" i="1"/>
  <c r="F17" i="1"/>
  <c r="E17" i="1"/>
  <c r="F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G17" i="1" l="1"/>
  <c r="G95" i="1"/>
  <c r="H74" i="1"/>
  <c r="H62" i="1"/>
  <c r="H48" i="1"/>
  <c r="H36" i="1"/>
  <c r="G83" i="1"/>
  <c r="D86" i="1"/>
  <c r="F86" i="1"/>
  <c r="I89" i="1" s="1"/>
  <c r="J89" i="1" s="1"/>
  <c r="G84" i="1"/>
  <c r="G81" i="1"/>
  <c r="G82" i="1"/>
  <c r="E80" i="1"/>
  <c r="E86" i="1" s="1"/>
  <c r="E71" i="1"/>
  <c r="G68" i="1"/>
  <c r="G69" i="1"/>
  <c r="D71" i="1"/>
  <c r="F71" i="1"/>
  <c r="F59" i="1"/>
  <c r="I62" i="1" s="1"/>
  <c r="D33" i="1"/>
  <c r="G57" i="1"/>
  <c r="G55" i="1"/>
  <c r="E59" i="1"/>
  <c r="G56" i="1"/>
  <c r="D59" i="1"/>
  <c r="G54" i="1"/>
  <c r="H22" i="1"/>
  <c r="F45" i="1"/>
  <c r="I48" i="1" s="1"/>
  <c r="J48" i="1" s="1"/>
  <c r="E45" i="1"/>
  <c r="G45" i="1" s="1"/>
  <c r="G43" i="1"/>
  <c r="D45" i="1"/>
  <c r="G42" i="1"/>
  <c r="G31" i="1"/>
  <c r="G29" i="1"/>
  <c r="G30" i="1"/>
  <c r="E28" i="1"/>
  <c r="E33" i="1" s="1"/>
  <c r="F33" i="1"/>
  <c r="G11" i="1"/>
  <c r="G12" i="1"/>
  <c r="G16" i="1"/>
  <c r="E19" i="1"/>
  <c r="G9" i="1"/>
  <c r="G13" i="1"/>
  <c r="G14" i="1"/>
  <c r="G15" i="1"/>
  <c r="G10" i="1"/>
  <c r="D19" i="1"/>
  <c r="F19" i="1"/>
  <c r="G80" i="1" l="1"/>
  <c r="H2" i="1"/>
  <c r="G86" i="1"/>
  <c r="J62" i="1"/>
  <c r="I74" i="1"/>
  <c r="J74" i="1" s="1"/>
  <c r="G71" i="1"/>
  <c r="G59" i="1"/>
  <c r="I36" i="1"/>
  <c r="J36" i="1" s="1"/>
  <c r="G33" i="1"/>
  <c r="G28" i="1"/>
  <c r="I22" i="1"/>
  <c r="J22" i="1" s="1"/>
  <c r="G19" i="1"/>
  <c r="I2" i="1" l="1"/>
  <c r="J2" i="1" s="1"/>
</calcChain>
</file>

<file path=xl/sharedStrings.xml><?xml version="1.0" encoding="utf-8"?>
<sst xmlns="http://schemas.openxmlformats.org/spreadsheetml/2006/main" count="388" uniqueCount="38">
  <si>
    <t>Talhão</t>
  </si>
  <si>
    <t>Área (ha)</t>
  </si>
  <si>
    <t>Nível de Dificuldade</t>
  </si>
  <si>
    <t>Valor por ha (Nível)</t>
  </si>
  <si>
    <t>Custo Total por Nível</t>
  </si>
  <si>
    <t>Custo Total Sem Nível</t>
  </si>
  <si>
    <t>TOTAL / MÉDIA PONDERADA</t>
  </si>
  <si>
    <t>SÃO JOÃO 12</t>
  </si>
  <si>
    <t>BOM JESUS DA LAPA</t>
  </si>
  <si>
    <t>FIGUEIRA</t>
  </si>
  <si>
    <t>BOA VISTA 1</t>
  </si>
  <si>
    <t>BARRA GRANDE</t>
  </si>
  <si>
    <t>VARGEM RICA</t>
  </si>
  <si>
    <t>CACHOEIRA DA PRATA</t>
  </si>
  <si>
    <t>AGUAS CLARAS 3</t>
  </si>
  <si>
    <t>ESPERANÇA 2</t>
  </si>
  <si>
    <t>MORADA DO SOL</t>
  </si>
  <si>
    <t>NIVEL APROXIMADO</t>
  </si>
  <si>
    <t>SÃO FRANCISCO 1</t>
  </si>
  <si>
    <t>SANTA FRANCESCA 2</t>
  </si>
  <si>
    <t>CAFE VELHO</t>
  </si>
  <si>
    <t>CACHOEIRA 2</t>
  </si>
  <si>
    <t>MONTEVIDEO</t>
  </si>
  <si>
    <t>Projeção Economia / Diferença</t>
  </si>
  <si>
    <t>Código :</t>
  </si>
  <si>
    <t>Seção :</t>
  </si>
  <si>
    <t>Já Baixado Economia / Diferença</t>
  </si>
  <si>
    <t>Economia/Diferença</t>
  </si>
  <si>
    <t>PONTE FUNDA</t>
  </si>
  <si>
    <t>SANTA LUCIA</t>
  </si>
  <si>
    <t>COQUEIROS 7</t>
  </si>
  <si>
    <t>CORREDEIRA</t>
  </si>
  <si>
    <t>Valor ha (Nível)</t>
  </si>
  <si>
    <t>BAIXADO</t>
  </si>
  <si>
    <t>ANDAMENTO</t>
  </si>
  <si>
    <t>A FAZER</t>
  </si>
  <si>
    <t>TABOCA 2</t>
  </si>
  <si>
    <t>VARZEA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</si>
</sst>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0.000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showGridLines="0" tabSelected="1" zoomScale="90" zoomScaleNormal="90" workbookViewId="0">
      <pane ySplit="2" topLeftCell="A141" activePane="bottomLeft" state="frozen"/>
      <selection pane="bottomLeft" activeCell="I151" sqref="I151"/>
    </sheetView>
  </sheetViews>
  <sheetFormatPr defaultRowHeight="15" x14ac:dyDescent="0.25"/>
  <cols>
    <col min="1" max="1" width="14.5703125" style="1" customWidth="1"/>
    <col min="2" max="2" width="20.85546875" style="1" bestFit="1" customWidth="1"/>
    <col min="3" max="3" width="19.140625" style="1" bestFit="1" customWidth="1"/>
    <col min="4" max="4" width="18" style="1" customWidth="1"/>
    <col min="5" max="5" width="19.5703125" style="1" bestFit="1" customWidth="1"/>
    <col min="6" max="6" width="20.42578125" style="1" bestFit="1" customWidth="1"/>
    <col min="7" max="7" width="18.85546875" style="1" customWidth="1"/>
    <col min="8" max="8" width="19.85546875" style="1" customWidth="1"/>
    <col min="9" max="9" width="20.5703125" style="1" customWidth="1"/>
    <col min="10" max="10" width="18.42578125" style="1" customWidth="1"/>
    <col min="11" max="11" width="22.28515625" style="3" customWidth="1"/>
    <col min="12" max="12" width="19.5703125" style="1" bestFit="1" customWidth="1"/>
    <col min="13" max="13" width="20.42578125" style="1" bestFit="1" customWidth="1"/>
    <col min="14" max="14" width="20.140625" style="1" bestFit="1" customWidth="1"/>
    <col min="15" max="16384" width="9.140625" style="1"/>
  </cols>
  <sheetData>
    <row r="1" spans="1:14" ht="30" x14ac:dyDescent="0.25">
      <c r="C1" s="8"/>
      <c r="D1" s="8"/>
      <c r="E1" s="8"/>
      <c r="H1" s="14" t="s">
        <v>4</v>
      </c>
      <c r="I1" s="14" t="s">
        <v>5</v>
      </c>
      <c r="J1" s="14" t="s">
        <v>23</v>
      </c>
      <c r="K1" s="20" t="s">
        <v>26</v>
      </c>
    </row>
    <row r="2" spans="1:14" x14ac:dyDescent="0.25">
      <c r="C2" s="3"/>
      <c r="D2" s="3"/>
      <c r="E2" s="3"/>
      <c r="F2" s="3"/>
      <c r="H2" s="2">
        <f>SUM(H3:H1048576)</f>
        <v>449069.59900000005</v>
      </c>
      <c r="I2" s="2">
        <f>SUM(I3:I1048576)</f>
        <v>574691.56499999994</v>
      </c>
      <c r="J2" s="2">
        <f>I2-H2</f>
        <v>125621.9659999999</v>
      </c>
      <c r="K2" s="2">
        <f>SUM(K3:K1048576)</f>
        <v>57061.878499999977</v>
      </c>
      <c r="L2" s="3"/>
      <c r="M2" s="3"/>
      <c r="N2" s="3"/>
    </row>
    <row r="4" spans="1:14" x14ac:dyDescent="0.25">
      <c r="A4" s="13" t="s">
        <v>33</v>
      </c>
    </row>
    <row r="5" spans="1:14" x14ac:dyDescent="0.25">
      <c r="A5" s="18" t="s">
        <v>24</v>
      </c>
      <c r="B5" s="4">
        <v>10228</v>
      </c>
    </row>
    <row r="6" spans="1:14" x14ac:dyDescent="0.25">
      <c r="A6" s="18" t="s">
        <v>25</v>
      </c>
      <c r="B6" s="4" t="s">
        <v>8</v>
      </c>
    </row>
    <row r="8" spans="1:14" x14ac:dyDescent="0.25">
      <c r="A8" s="16" t="s">
        <v>0</v>
      </c>
      <c r="B8" s="16" t="s">
        <v>1</v>
      </c>
      <c r="C8" s="16" t="s">
        <v>2</v>
      </c>
      <c r="D8" s="16" t="s">
        <v>32</v>
      </c>
      <c r="E8" s="16" t="s">
        <v>4</v>
      </c>
      <c r="F8" s="16" t="s">
        <v>5</v>
      </c>
      <c r="G8" s="16" t="s">
        <v>27</v>
      </c>
    </row>
    <row r="9" spans="1:14" x14ac:dyDescent="0.25">
      <c r="A9" s="4">
        <v>1</v>
      </c>
      <c r="B9" s="5">
        <v>1.56</v>
      </c>
      <c r="C9" s="5">
        <v>2</v>
      </c>
      <c r="D9" s="6">
        <f t="shared" ref="D9:D17" si="0">IF(C9=1, 516.84, IF(C9=2, 852.79, IF(C9=3, 1213.48, IF(C9=4, 1705.58, 0))))</f>
        <v>852.79</v>
      </c>
      <c r="E9" s="6">
        <f t="shared" ref="E9:E17" si="1">B9*D9</f>
        <v>1330.3524</v>
      </c>
      <c r="F9" s="6">
        <f t="shared" ref="F9:F17" si="2">B9*927.67</f>
        <v>1447.1651999999999</v>
      </c>
      <c r="G9" s="6">
        <f t="shared" ref="G9:G17" si="3">F9-E9</f>
        <v>116.81279999999992</v>
      </c>
    </row>
    <row r="10" spans="1:14" x14ac:dyDescent="0.25">
      <c r="A10" s="4">
        <v>2</v>
      </c>
      <c r="B10" s="5">
        <v>6.92</v>
      </c>
      <c r="C10" s="5">
        <v>3</v>
      </c>
      <c r="D10" s="6">
        <f t="shared" si="0"/>
        <v>1213.48</v>
      </c>
      <c r="E10" s="6">
        <f t="shared" si="1"/>
        <v>8397.2816000000003</v>
      </c>
      <c r="F10" s="6">
        <f t="shared" si="2"/>
        <v>6419.4763999999996</v>
      </c>
      <c r="G10" s="6">
        <f t="shared" si="3"/>
        <v>-1977.8052000000007</v>
      </c>
    </row>
    <row r="11" spans="1:14" x14ac:dyDescent="0.25">
      <c r="A11" s="4">
        <v>3</v>
      </c>
      <c r="B11" s="5">
        <v>1.68</v>
      </c>
      <c r="C11" s="5">
        <v>2</v>
      </c>
      <c r="D11" s="6">
        <f t="shared" si="0"/>
        <v>852.79</v>
      </c>
      <c r="E11" s="6">
        <f t="shared" si="1"/>
        <v>1432.6871999999998</v>
      </c>
      <c r="F11" s="6">
        <f t="shared" si="2"/>
        <v>1558.4856</v>
      </c>
      <c r="G11" s="6">
        <f t="shared" si="3"/>
        <v>125.79840000000013</v>
      </c>
    </row>
    <row r="12" spans="1:14" x14ac:dyDescent="0.25">
      <c r="A12" s="4">
        <v>4</v>
      </c>
      <c r="B12" s="5">
        <v>5.86</v>
      </c>
      <c r="C12" s="5">
        <v>3</v>
      </c>
      <c r="D12" s="6">
        <f t="shared" si="0"/>
        <v>1213.48</v>
      </c>
      <c r="E12" s="6">
        <f t="shared" si="1"/>
        <v>7110.9928000000009</v>
      </c>
      <c r="F12" s="6">
        <f t="shared" si="2"/>
        <v>5436.1462000000001</v>
      </c>
      <c r="G12" s="6">
        <f t="shared" si="3"/>
        <v>-1674.8466000000008</v>
      </c>
    </row>
    <row r="13" spans="1:14" x14ac:dyDescent="0.25">
      <c r="A13" s="4">
        <v>5</v>
      </c>
      <c r="B13" s="5">
        <v>5.82</v>
      </c>
      <c r="C13" s="5">
        <v>3</v>
      </c>
      <c r="D13" s="6">
        <f t="shared" si="0"/>
        <v>1213.48</v>
      </c>
      <c r="E13" s="6">
        <f t="shared" si="1"/>
        <v>7062.4536000000007</v>
      </c>
      <c r="F13" s="6">
        <f t="shared" si="2"/>
        <v>5399.0393999999997</v>
      </c>
      <c r="G13" s="6">
        <f t="shared" si="3"/>
        <v>-1663.4142000000011</v>
      </c>
    </row>
    <row r="14" spans="1:14" x14ac:dyDescent="0.25">
      <c r="A14" s="4">
        <v>6</v>
      </c>
      <c r="B14" s="5">
        <v>4.57</v>
      </c>
      <c r="C14" s="5">
        <v>4</v>
      </c>
      <c r="D14" s="6">
        <f t="shared" si="0"/>
        <v>1705.58</v>
      </c>
      <c r="E14" s="6">
        <f t="shared" si="1"/>
        <v>7794.5006000000003</v>
      </c>
      <c r="F14" s="6">
        <f t="shared" si="2"/>
        <v>4239.4519</v>
      </c>
      <c r="G14" s="6">
        <f t="shared" si="3"/>
        <v>-3555.0487000000003</v>
      </c>
    </row>
    <row r="15" spans="1:14" x14ac:dyDescent="0.25">
      <c r="A15" s="4">
        <v>7</v>
      </c>
      <c r="B15" s="5">
        <v>2.64</v>
      </c>
      <c r="C15" s="5">
        <v>2</v>
      </c>
      <c r="D15" s="6">
        <f t="shared" si="0"/>
        <v>852.79</v>
      </c>
      <c r="E15" s="6">
        <f t="shared" si="1"/>
        <v>2251.3656000000001</v>
      </c>
      <c r="F15" s="6">
        <f t="shared" si="2"/>
        <v>2449.0488</v>
      </c>
      <c r="G15" s="6">
        <f t="shared" si="3"/>
        <v>197.68319999999994</v>
      </c>
    </row>
    <row r="16" spans="1:14" x14ac:dyDescent="0.25">
      <c r="A16" s="4">
        <v>8</v>
      </c>
      <c r="B16" s="5">
        <v>1.24</v>
      </c>
      <c r="C16" s="5">
        <v>3</v>
      </c>
      <c r="D16" s="6">
        <f t="shared" si="0"/>
        <v>1213.48</v>
      </c>
      <c r="E16" s="6">
        <f t="shared" si="1"/>
        <v>1504.7152000000001</v>
      </c>
      <c r="F16" s="6">
        <f t="shared" si="2"/>
        <v>1150.3108</v>
      </c>
      <c r="G16" s="6">
        <f t="shared" si="3"/>
        <v>-354.40440000000012</v>
      </c>
    </row>
    <row r="17" spans="1:11" x14ac:dyDescent="0.25">
      <c r="A17" s="4">
        <v>9</v>
      </c>
      <c r="B17" s="5">
        <v>4.79</v>
      </c>
      <c r="C17" s="5">
        <v>3</v>
      </c>
      <c r="D17" s="6">
        <f t="shared" si="0"/>
        <v>1213.48</v>
      </c>
      <c r="E17" s="6">
        <f t="shared" si="1"/>
        <v>5812.5691999999999</v>
      </c>
      <c r="F17" s="6">
        <f t="shared" si="2"/>
        <v>4443.5392999999995</v>
      </c>
      <c r="G17" s="6">
        <f t="shared" si="3"/>
        <v>-1369.0299000000005</v>
      </c>
    </row>
    <row r="19" spans="1:11" ht="30" x14ac:dyDescent="0.25">
      <c r="A19" s="17" t="s">
        <v>6</v>
      </c>
      <c r="B19" s="4">
        <f>SUM(B9:B17)</f>
        <v>35.08</v>
      </c>
      <c r="C19" s="7">
        <f>SUMPRODUCT(B9:B17, C9:C17)/SUM(B9:B17)</f>
        <v>2.9626567844925886</v>
      </c>
      <c r="D19" s="2">
        <f>SUMPRODUCT(B9:B17, D9:D17)/SUM(B9:B17)</f>
        <v>1217.1299372862031</v>
      </c>
      <c r="E19" s="2">
        <f>SUM(E9:E17)</f>
        <v>42696.9182</v>
      </c>
      <c r="F19" s="2">
        <f>SUM(F9:F17)</f>
        <v>32542.6636</v>
      </c>
      <c r="G19" s="2">
        <f>F19-E19</f>
        <v>-10154.2546</v>
      </c>
    </row>
    <row r="20" spans="1:11" x14ac:dyDescent="0.25">
      <c r="A20" s="8"/>
      <c r="B20" s="9"/>
      <c r="C20" s="10"/>
      <c r="D20" s="11"/>
      <c r="E20" s="11"/>
      <c r="F20" s="11"/>
      <c r="G20" s="11"/>
    </row>
    <row r="21" spans="1:11" x14ac:dyDescent="0.25">
      <c r="F21" s="16" t="s">
        <v>17</v>
      </c>
      <c r="G21" s="16" t="s">
        <v>3</v>
      </c>
      <c r="H21" s="16" t="s">
        <v>4</v>
      </c>
      <c r="I21" s="16" t="s">
        <v>5</v>
      </c>
      <c r="J21" s="16" t="s">
        <v>27</v>
      </c>
      <c r="K21" s="3" t="s">
        <v>27</v>
      </c>
    </row>
    <row r="22" spans="1:11" x14ac:dyDescent="0.25">
      <c r="F22" s="4">
        <v>3</v>
      </c>
      <c r="G22" s="12">
        <f>IF(F22=1, 516.84, IF(F22=2, 852.79, IF(F22=3, 1213.48, IF(F22=4, 1705.58, 0))))</f>
        <v>1213.48</v>
      </c>
      <c r="H22" s="12">
        <f>B19*G22</f>
        <v>42568.878400000001</v>
      </c>
      <c r="I22" s="2">
        <f>F19</f>
        <v>32542.6636</v>
      </c>
      <c r="J22" s="2">
        <f>I22-H22</f>
        <v>-10026.214800000002</v>
      </c>
      <c r="K22" s="3">
        <v>-10026.214800000002</v>
      </c>
    </row>
    <row r="23" spans="1:11" x14ac:dyDescent="0.25">
      <c r="A23" s="13" t="s">
        <v>33</v>
      </c>
    </row>
    <row r="24" spans="1:11" x14ac:dyDescent="0.25">
      <c r="A24" s="18" t="s">
        <v>24</v>
      </c>
      <c r="B24" s="4">
        <v>10073</v>
      </c>
    </row>
    <row r="25" spans="1:11" x14ac:dyDescent="0.25">
      <c r="A25" s="18" t="s">
        <v>25</v>
      </c>
      <c r="B25" s="4" t="s">
        <v>9</v>
      </c>
    </row>
    <row r="27" spans="1:11" x14ac:dyDescent="0.25">
      <c r="A27" s="16" t="s">
        <v>0</v>
      </c>
      <c r="B27" s="16" t="s">
        <v>1</v>
      </c>
      <c r="C27" s="16" t="s">
        <v>2</v>
      </c>
      <c r="D27" s="16" t="s">
        <v>32</v>
      </c>
      <c r="E27" s="16" t="s">
        <v>4</v>
      </c>
      <c r="F27" s="16" t="s">
        <v>5</v>
      </c>
      <c r="G27" s="16" t="s">
        <v>27</v>
      </c>
    </row>
    <row r="28" spans="1:11" x14ac:dyDescent="0.25">
      <c r="A28" s="4">
        <v>5</v>
      </c>
      <c r="B28" s="5">
        <v>15.18</v>
      </c>
      <c r="C28" s="5">
        <v>2</v>
      </c>
      <c r="D28" s="6">
        <f>IF(C28=1, 516.84, IF(C28=2, 852.79, IF(C28=3, 1213.48, IF(C28=4, 1705.58, 0))))</f>
        <v>852.79</v>
      </c>
      <c r="E28" s="6">
        <f>B28*D28</f>
        <v>12945.352199999999</v>
      </c>
      <c r="F28" s="6">
        <f>B28*927.67</f>
        <v>14082.030599999998</v>
      </c>
      <c r="G28" s="6">
        <f>F28-E28</f>
        <v>1136.6783999999989</v>
      </c>
    </row>
    <row r="29" spans="1:11" x14ac:dyDescent="0.25">
      <c r="A29" s="4">
        <v>6</v>
      </c>
      <c r="B29" s="5">
        <v>24.9</v>
      </c>
      <c r="C29" s="5">
        <v>2</v>
      </c>
      <c r="D29" s="6">
        <f>IF(C29=1, 516.84, IF(C29=2, 852.79, IF(C29=3, 1213.48, IF(C29=4, 1705.58, 0))))</f>
        <v>852.79</v>
      </c>
      <c r="E29" s="6">
        <f>B29*D29</f>
        <v>21234.470999999998</v>
      </c>
      <c r="F29" s="6">
        <f>B29*927.67</f>
        <v>23098.982999999997</v>
      </c>
      <c r="G29" s="6">
        <f>F29-E29</f>
        <v>1864.5119999999988</v>
      </c>
    </row>
    <row r="30" spans="1:11" x14ac:dyDescent="0.25">
      <c r="A30" s="4">
        <v>7</v>
      </c>
      <c r="B30" s="5">
        <v>24.76</v>
      </c>
      <c r="C30" s="5">
        <v>2</v>
      </c>
      <c r="D30" s="6">
        <f>IF(C30=1, 516.84, IF(C30=2, 852.79, IF(C30=3, 1213.48, IF(C30=4, 1705.58, 0))))</f>
        <v>852.79</v>
      </c>
      <c r="E30" s="6">
        <f>B30*D30</f>
        <v>21115.080399999999</v>
      </c>
      <c r="F30" s="6">
        <f>B30*927.67</f>
        <v>22969.109199999999</v>
      </c>
      <c r="G30" s="6">
        <f>F30-E30</f>
        <v>1854.0288</v>
      </c>
    </row>
    <row r="31" spans="1:11" x14ac:dyDescent="0.25">
      <c r="A31" s="4">
        <v>8</v>
      </c>
      <c r="B31" s="5">
        <v>11.52</v>
      </c>
      <c r="C31" s="5">
        <v>2</v>
      </c>
      <c r="D31" s="6">
        <f>IF(C31=1, 516.84, IF(C31=2, 852.79, IF(C31=3, 1213.48, IF(C31=4, 1705.58, 0))))</f>
        <v>852.79</v>
      </c>
      <c r="E31" s="6">
        <f>B31*D31</f>
        <v>9824.1407999999992</v>
      </c>
      <c r="F31" s="6">
        <f>B31*927.67</f>
        <v>10686.758399999999</v>
      </c>
      <c r="G31" s="6">
        <f>F31-E31</f>
        <v>862.61759999999958</v>
      </c>
    </row>
    <row r="33" spans="1:11" ht="30" x14ac:dyDescent="0.25">
      <c r="A33" s="17" t="s">
        <v>6</v>
      </c>
      <c r="B33" s="4">
        <f>SUM(B28:B31)</f>
        <v>76.36</v>
      </c>
      <c r="C33" s="7">
        <f>SUMPRODUCT(B28:B31, C28:C31)/SUM(B28:B31)</f>
        <v>2</v>
      </c>
      <c r="D33" s="2">
        <f>SUMPRODUCT(B28:B31, D28:D31)/SUM(B28:B31)</f>
        <v>852.79</v>
      </c>
      <c r="E33" s="2">
        <f>SUM(E28:E31)</f>
        <v>65119.044399999999</v>
      </c>
      <c r="F33" s="2">
        <f>SUM(F28:F31)</f>
        <v>70836.881199999989</v>
      </c>
      <c r="G33" s="2">
        <f>F33-E33</f>
        <v>5717.83679999999</v>
      </c>
    </row>
    <row r="34" spans="1:11" x14ac:dyDescent="0.25">
      <c r="A34" s="8"/>
      <c r="B34" s="9"/>
      <c r="C34" s="10"/>
      <c r="D34" s="11"/>
      <c r="E34" s="11"/>
      <c r="F34" s="11"/>
      <c r="G34" s="11"/>
    </row>
    <row r="35" spans="1:11" x14ac:dyDescent="0.25">
      <c r="F35" s="16" t="s">
        <v>17</v>
      </c>
      <c r="G35" s="16" t="s">
        <v>3</v>
      </c>
      <c r="H35" s="16" t="s">
        <v>4</v>
      </c>
      <c r="I35" s="16" t="s">
        <v>5</v>
      </c>
      <c r="J35" s="16" t="s">
        <v>27</v>
      </c>
      <c r="K35" s="3" t="s">
        <v>27</v>
      </c>
    </row>
    <row r="36" spans="1:11" x14ac:dyDescent="0.25">
      <c r="F36" s="4">
        <v>2</v>
      </c>
      <c r="G36" s="12">
        <f>IF(F36=1, 516.84, IF(F36=2, 852.79, IF(F36=3, 1213.48, IF(F36=4, 1705.58, 0))))</f>
        <v>852.79</v>
      </c>
      <c r="H36" s="12">
        <f>B33*G36</f>
        <v>65119.044399999999</v>
      </c>
      <c r="I36" s="2">
        <f>F33</f>
        <v>70836.881199999989</v>
      </c>
      <c r="J36" s="2">
        <f>I36-H36</f>
        <v>5717.83679999999</v>
      </c>
      <c r="K36" s="3">
        <v>5717.83679999999</v>
      </c>
    </row>
    <row r="37" spans="1:11" x14ac:dyDescent="0.25">
      <c r="A37" s="13" t="s">
        <v>33</v>
      </c>
    </row>
    <row r="38" spans="1:11" x14ac:dyDescent="0.25">
      <c r="A38" s="18" t="s">
        <v>24</v>
      </c>
      <c r="B38" s="4">
        <v>10027</v>
      </c>
    </row>
    <row r="39" spans="1:11" x14ac:dyDescent="0.25">
      <c r="A39" s="18" t="s">
        <v>25</v>
      </c>
      <c r="B39" s="4" t="s">
        <v>10</v>
      </c>
    </row>
    <row r="41" spans="1:11" x14ac:dyDescent="0.25">
      <c r="A41" s="16" t="s">
        <v>0</v>
      </c>
      <c r="B41" s="16" t="s">
        <v>1</v>
      </c>
      <c r="C41" s="16" t="s">
        <v>2</v>
      </c>
      <c r="D41" s="16" t="s">
        <v>32</v>
      </c>
      <c r="E41" s="16" t="s">
        <v>4</v>
      </c>
      <c r="F41" s="16" t="s">
        <v>5</v>
      </c>
      <c r="G41" s="16" t="s">
        <v>27</v>
      </c>
    </row>
    <row r="42" spans="1:11" x14ac:dyDescent="0.25">
      <c r="A42" s="4">
        <v>4</v>
      </c>
      <c r="B42" s="5">
        <v>18.75</v>
      </c>
      <c r="C42" s="5">
        <v>3</v>
      </c>
      <c r="D42" s="6">
        <f>IF(C42=1, 516.84, IF(C42=2, 852.79, IF(C42=3, 1213.48, IF(C42=4, 1705.58, 0))))</f>
        <v>1213.48</v>
      </c>
      <c r="E42" s="6">
        <f>B42*D42</f>
        <v>22752.75</v>
      </c>
      <c r="F42" s="6">
        <f>B42*927.67</f>
        <v>17393.8125</v>
      </c>
      <c r="G42" s="6">
        <f>F42-E42</f>
        <v>-5358.9375</v>
      </c>
    </row>
    <row r="43" spans="1:11" x14ac:dyDescent="0.25">
      <c r="A43" s="4">
        <v>9</v>
      </c>
      <c r="B43" s="5">
        <v>20.72</v>
      </c>
      <c r="C43" s="5">
        <v>3</v>
      </c>
      <c r="D43" s="6">
        <f>IF(C43=1, 516.84, IF(C43=2, 852.79, IF(C43=3, 1213.48, IF(C43=4, 1705.58, 0))))</f>
        <v>1213.48</v>
      </c>
      <c r="E43" s="6">
        <f>B43*D43</f>
        <v>25143.3056</v>
      </c>
      <c r="F43" s="6">
        <f>B43*927.67</f>
        <v>19221.322399999997</v>
      </c>
      <c r="G43" s="6">
        <f>F43-E43</f>
        <v>-5921.9832000000024</v>
      </c>
    </row>
    <row r="45" spans="1:11" ht="30" x14ac:dyDescent="0.25">
      <c r="A45" s="17" t="s">
        <v>6</v>
      </c>
      <c r="B45" s="4">
        <f>SUM(B42:B43)</f>
        <v>39.47</v>
      </c>
      <c r="C45" s="7">
        <f>SUMPRODUCT(B42:B43, C42:C43)/SUM(B42:B43)</f>
        <v>3</v>
      </c>
      <c r="D45" s="2">
        <f>SUMPRODUCT(B42:B43, D42:D43)/SUM(B42:B43)</f>
        <v>1213.48</v>
      </c>
      <c r="E45" s="2">
        <f>SUM(E42:E43)</f>
        <v>47896.0556</v>
      </c>
      <c r="F45" s="2">
        <f>SUM(F42:F43)</f>
        <v>36615.134899999997</v>
      </c>
      <c r="G45" s="2">
        <f>F45-E45</f>
        <v>-11280.920700000002</v>
      </c>
    </row>
    <row r="46" spans="1:11" x14ac:dyDescent="0.25">
      <c r="A46" s="8"/>
      <c r="B46" s="9"/>
      <c r="C46" s="10"/>
      <c r="D46" s="11"/>
      <c r="E46" s="11"/>
      <c r="F46" s="11"/>
      <c r="G46" s="11"/>
    </row>
    <row r="47" spans="1:11" x14ac:dyDescent="0.25">
      <c r="F47" s="16" t="s">
        <v>17</v>
      </c>
      <c r="G47" s="16" t="s">
        <v>3</v>
      </c>
      <c r="H47" s="16" t="s">
        <v>4</v>
      </c>
      <c r="I47" s="16" t="s">
        <v>5</v>
      </c>
      <c r="J47" s="16" t="s">
        <v>27</v>
      </c>
      <c r="K47" s="3" t="s">
        <v>27</v>
      </c>
    </row>
    <row r="48" spans="1:11" x14ac:dyDescent="0.25">
      <c r="F48" s="13">
        <v>3</v>
      </c>
      <c r="G48" s="12">
        <f>IF(F48=1, 516.84, IF(F48=2, 852.79, IF(F48=3, 1213.48, IF(F48=4, 1705.58, 0))))</f>
        <v>1213.48</v>
      </c>
      <c r="H48" s="12">
        <f>B45*G48</f>
        <v>47896.0556</v>
      </c>
      <c r="I48" s="2">
        <f>F45</f>
        <v>36615.134899999997</v>
      </c>
      <c r="J48" s="2">
        <f>I48-H48</f>
        <v>-11280.920700000002</v>
      </c>
      <c r="K48" s="3">
        <v>-11280.920700000002</v>
      </c>
    </row>
    <row r="49" spans="1:11" x14ac:dyDescent="0.25">
      <c r="A49" s="13" t="s">
        <v>33</v>
      </c>
    </row>
    <row r="50" spans="1:11" x14ac:dyDescent="0.25">
      <c r="A50" s="18" t="s">
        <v>24</v>
      </c>
      <c r="B50" s="4">
        <v>10291</v>
      </c>
    </row>
    <row r="51" spans="1:11" x14ac:dyDescent="0.25">
      <c r="A51" s="18" t="s">
        <v>25</v>
      </c>
      <c r="B51" s="4" t="s">
        <v>11</v>
      </c>
    </row>
    <row r="53" spans="1:11" x14ac:dyDescent="0.25">
      <c r="A53" s="16" t="s">
        <v>0</v>
      </c>
      <c r="B53" s="16" t="s">
        <v>1</v>
      </c>
      <c r="C53" s="16" t="s">
        <v>2</v>
      </c>
      <c r="D53" s="16" t="s">
        <v>32</v>
      </c>
      <c r="E53" s="16" t="s">
        <v>4</v>
      </c>
      <c r="F53" s="16" t="s">
        <v>5</v>
      </c>
      <c r="G53" s="16" t="s">
        <v>27</v>
      </c>
    </row>
    <row r="54" spans="1:11" x14ac:dyDescent="0.25">
      <c r="A54" s="4">
        <v>1</v>
      </c>
      <c r="B54" s="5">
        <v>13.31</v>
      </c>
      <c r="C54" s="5">
        <v>1</v>
      </c>
      <c r="D54" s="6">
        <f>IF(C54=1, 516.84, IF(C54=2, 852.79, IF(C54=3, 1213.48, IF(C54=4, 1705.58, 0))))</f>
        <v>516.84</v>
      </c>
      <c r="E54" s="6">
        <f>B54*D54</f>
        <v>6879.1404000000002</v>
      </c>
      <c r="F54" s="6">
        <f>B54*927.67</f>
        <v>12347.287700000001</v>
      </c>
      <c r="G54" s="6">
        <f>F54-E54</f>
        <v>5468.1473000000005</v>
      </c>
    </row>
    <row r="55" spans="1:11" x14ac:dyDescent="0.25">
      <c r="A55" s="4">
        <v>2</v>
      </c>
      <c r="B55" s="5">
        <v>14.16</v>
      </c>
      <c r="C55" s="5">
        <v>1</v>
      </c>
      <c r="D55" s="6">
        <f>IF(C55=1, 516.84, IF(C55=2, 852.79, IF(C55=3, 1213.48, IF(C55=4, 1705.58, 0))))</f>
        <v>516.84</v>
      </c>
      <c r="E55" s="6">
        <f>B55*D55</f>
        <v>7318.4544000000005</v>
      </c>
      <c r="F55" s="6">
        <f>B55*927.67</f>
        <v>13135.807199999999</v>
      </c>
      <c r="G55" s="6">
        <f>F55-E55</f>
        <v>5817.3527999999988</v>
      </c>
    </row>
    <row r="56" spans="1:11" x14ac:dyDescent="0.25">
      <c r="A56" s="4">
        <v>3</v>
      </c>
      <c r="B56" s="5">
        <v>16.25</v>
      </c>
      <c r="C56" s="5">
        <v>1</v>
      </c>
      <c r="D56" s="6">
        <f>IF(C56=1, 516.84, IF(C56=2, 852.79, IF(C56=3, 1213.48, IF(C56=4, 1705.58, 0))))</f>
        <v>516.84</v>
      </c>
      <c r="E56" s="6">
        <f>B56*D56</f>
        <v>8398.65</v>
      </c>
      <c r="F56" s="6">
        <f>B56*927.67</f>
        <v>15074.637499999999</v>
      </c>
      <c r="G56" s="6">
        <f>F56-E56</f>
        <v>6675.9874999999993</v>
      </c>
    </row>
    <row r="57" spans="1:11" x14ac:dyDescent="0.25">
      <c r="A57" s="4">
        <v>4</v>
      </c>
      <c r="B57" s="5">
        <v>10.82</v>
      </c>
      <c r="C57" s="5">
        <v>1</v>
      </c>
      <c r="D57" s="6">
        <f>IF(C57=1, 516.84, IF(C57=2, 852.79, IF(C57=3, 1213.48, IF(C57=4, 1705.58, 0))))</f>
        <v>516.84</v>
      </c>
      <c r="E57" s="6">
        <f>B57*D57</f>
        <v>5592.2088000000003</v>
      </c>
      <c r="F57" s="6">
        <f>B57*927.67</f>
        <v>10037.3894</v>
      </c>
      <c r="G57" s="6">
        <f>F57-E57</f>
        <v>4445.1805999999997</v>
      </c>
    </row>
    <row r="59" spans="1:11" ht="30" x14ac:dyDescent="0.25">
      <c r="A59" s="17" t="s">
        <v>6</v>
      </c>
      <c r="B59" s="4">
        <f>SUM(B54:B57)</f>
        <v>54.54</v>
      </c>
      <c r="C59" s="7">
        <f>SUMPRODUCT(B54:B57, C54:C57)/SUM(B54:B57)</f>
        <v>1</v>
      </c>
      <c r="D59" s="2">
        <f>SUMPRODUCT(B54:B57, D54:D57)/SUM(B54:B57)</f>
        <v>516.84</v>
      </c>
      <c r="E59" s="2">
        <f>SUM(E54:E57)</f>
        <v>28188.453600000001</v>
      </c>
      <c r="F59" s="2">
        <f>SUM(F54:F57)</f>
        <v>50595.121800000001</v>
      </c>
      <c r="G59" s="2">
        <f>F59-E59</f>
        <v>22406.6682</v>
      </c>
    </row>
    <row r="60" spans="1:11" x14ac:dyDescent="0.25">
      <c r="A60" s="8"/>
      <c r="B60" s="9"/>
      <c r="C60" s="10"/>
      <c r="D60" s="11"/>
      <c r="E60" s="11"/>
      <c r="F60" s="11"/>
      <c r="G60" s="11"/>
    </row>
    <row r="61" spans="1:11" x14ac:dyDescent="0.25">
      <c r="F61" s="16" t="s">
        <v>17</v>
      </c>
      <c r="G61" s="16" t="s">
        <v>3</v>
      </c>
      <c r="H61" s="16" t="s">
        <v>4</v>
      </c>
      <c r="I61" s="16" t="s">
        <v>5</v>
      </c>
      <c r="J61" s="16" t="s">
        <v>27</v>
      </c>
      <c r="K61" s="3" t="s">
        <v>27</v>
      </c>
    </row>
    <row r="62" spans="1:11" x14ac:dyDescent="0.25">
      <c r="F62" s="13">
        <v>1</v>
      </c>
      <c r="G62" s="12">
        <f>IF(F62=1, 516.84, IF(F62=2, 852.79, IF(F62=3, 1213.48, IF(F62=4, 1705.58, 0))))</f>
        <v>516.84</v>
      </c>
      <c r="H62" s="12">
        <f>B59*G62</f>
        <v>28188.453600000001</v>
      </c>
      <c r="I62" s="2">
        <f>F59</f>
        <v>50595.121800000001</v>
      </c>
      <c r="J62" s="2">
        <f>I62-H62</f>
        <v>22406.6682</v>
      </c>
      <c r="K62" s="3">
        <v>22406.6682</v>
      </c>
    </row>
    <row r="63" spans="1:11" x14ac:dyDescent="0.25">
      <c r="A63" s="13" t="s">
        <v>33</v>
      </c>
    </row>
    <row r="64" spans="1:11" x14ac:dyDescent="0.25">
      <c r="A64" s="18" t="s">
        <v>24</v>
      </c>
      <c r="B64" s="4">
        <v>10020</v>
      </c>
    </row>
    <row r="65" spans="1:11" x14ac:dyDescent="0.25">
      <c r="A65" s="18" t="s">
        <v>25</v>
      </c>
      <c r="B65" s="4" t="s">
        <v>12</v>
      </c>
    </row>
    <row r="67" spans="1:11" x14ac:dyDescent="0.25">
      <c r="A67" s="18" t="s">
        <v>0</v>
      </c>
      <c r="B67" s="18" t="s">
        <v>1</v>
      </c>
      <c r="C67" s="18" t="s">
        <v>2</v>
      </c>
      <c r="D67" s="18" t="s">
        <v>32</v>
      </c>
      <c r="E67" s="18" t="s">
        <v>4</v>
      </c>
      <c r="F67" s="18" t="s">
        <v>5</v>
      </c>
      <c r="G67" s="18" t="s">
        <v>27</v>
      </c>
    </row>
    <row r="68" spans="1:11" x14ac:dyDescent="0.25">
      <c r="A68" s="4">
        <v>1</v>
      </c>
      <c r="B68" s="5">
        <v>22.19</v>
      </c>
      <c r="C68" s="5">
        <v>1</v>
      </c>
      <c r="D68" s="6">
        <f>IF(C68=1, 516.84, IF(C68=2, 852.79, IF(C68=3, 1213.48, IF(C68=4, 1705.58, 0))))</f>
        <v>516.84</v>
      </c>
      <c r="E68" s="6">
        <f>B68*D68</f>
        <v>11468.679600000001</v>
      </c>
      <c r="F68" s="6">
        <f>B68*927.67</f>
        <v>20584.997299999999</v>
      </c>
      <c r="G68" s="6">
        <f>F68-E68</f>
        <v>9116.3176999999978</v>
      </c>
    </row>
    <row r="69" spans="1:11" x14ac:dyDescent="0.25">
      <c r="A69" s="4">
        <v>2</v>
      </c>
      <c r="B69" s="5">
        <v>27.83</v>
      </c>
      <c r="C69" s="5">
        <v>1</v>
      </c>
      <c r="D69" s="6">
        <f>IF(C69=1, 516.84, IF(C69=2, 852.79, IF(C69=3, 1213.48, IF(C69=4, 1705.58, 0))))</f>
        <v>516.84</v>
      </c>
      <c r="E69" s="6">
        <f>B69*D69</f>
        <v>14383.6572</v>
      </c>
      <c r="F69" s="6">
        <f>B69*927.67</f>
        <v>25817.056099999998</v>
      </c>
      <c r="G69" s="6">
        <f>F69-E69</f>
        <v>11433.398899999998</v>
      </c>
    </row>
    <row r="71" spans="1:11" ht="30" x14ac:dyDescent="0.25">
      <c r="A71" s="19" t="s">
        <v>6</v>
      </c>
      <c r="B71" s="4">
        <f>SUM(B68:B69)</f>
        <v>50.019999999999996</v>
      </c>
      <c r="C71" s="7">
        <f>SUMPRODUCT(B68:B69, C68:C69)/SUM(B68:B69)</f>
        <v>1</v>
      </c>
      <c r="D71" s="2">
        <f>SUMPRODUCT(B68:B69, D68:D69)/SUM(B68:B69)</f>
        <v>516.84</v>
      </c>
      <c r="E71" s="2">
        <f>SUM(E68:E69)</f>
        <v>25852.336800000001</v>
      </c>
      <c r="F71" s="2">
        <f>SUM(F68:F69)</f>
        <v>46402.053399999997</v>
      </c>
      <c r="G71" s="2">
        <f>F71-E71</f>
        <v>20549.716599999996</v>
      </c>
    </row>
    <row r="72" spans="1:11" x14ac:dyDescent="0.25">
      <c r="A72" s="8"/>
      <c r="B72" s="9"/>
      <c r="C72" s="10"/>
      <c r="D72" s="11"/>
      <c r="E72" s="11"/>
      <c r="F72" s="11"/>
      <c r="G72" s="11"/>
    </row>
    <row r="73" spans="1:11" x14ac:dyDescent="0.25">
      <c r="F73" s="18" t="s">
        <v>17</v>
      </c>
      <c r="G73" s="18" t="s">
        <v>3</v>
      </c>
      <c r="H73" s="18" t="s">
        <v>4</v>
      </c>
      <c r="I73" s="18" t="s">
        <v>5</v>
      </c>
      <c r="J73" s="18" t="s">
        <v>27</v>
      </c>
      <c r="K73" s="3" t="s">
        <v>27</v>
      </c>
    </row>
    <row r="74" spans="1:11" x14ac:dyDescent="0.25">
      <c r="F74" s="13">
        <v>1</v>
      </c>
      <c r="G74" s="12">
        <f>IF(F74=1, 516.84, IF(F74=2, 852.79, IF(F74=3, 1213.48, IF(F74=4, 1705.58, 0))))</f>
        <v>516.84</v>
      </c>
      <c r="H74" s="12">
        <f>B71*G74</f>
        <v>25852.336800000001</v>
      </c>
      <c r="I74" s="2">
        <f>F71</f>
        <v>46402.053399999997</v>
      </c>
      <c r="J74" s="2">
        <f>I74-H74</f>
        <v>20549.716599999996</v>
      </c>
      <c r="K74" s="3">
        <v>20549.716599999996</v>
      </c>
    </row>
    <row r="75" spans="1:11" x14ac:dyDescent="0.25">
      <c r="A75" s="13" t="s">
        <v>33</v>
      </c>
    </row>
    <row r="76" spans="1:11" x14ac:dyDescent="0.25">
      <c r="A76" s="18" t="s">
        <v>24</v>
      </c>
      <c r="B76" s="4">
        <v>10416</v>
      </c>
    </row>
    <row r="77" spans="1:11" x14ac:dyDescent="0.25">
      <c r="A77" s="18" t="s">
        <v>25</v>
      </c>
      <c r="B77" s="4" t="s">
        <v>13</v>
      </c>
    </row>
    <row r="79" spans="1:11" x14ac:dyDescent="0.25">
      <c r="A79" s="18" t="s">
        <v>0</v>
      </c>
      <c r="B79" s="18" t="s">
        <v>1</v>
      </c>
      <c r="C79" s="18" t="s">
        <v>2</v>
      </c>
      <c r="D79" s="18" t="s">
        <v>32</v>
      </c>
      <c r="E79" s="18" t="s">
        <v>4</v>
      </c>
      <c r="F79" s="18" t="s">
        <v>5</v>
      </c>
      <c r="G79" s="18" t="s">
        <v>27</v>
      </c>
    </row>
    <row r="80" spans="1:11" x14ac:dyDescent="0.25">
      <c r="A80" s="4">
        <v>1</v>
      </c>
      <c r="B80" s="5">
        <v>16.899999999999999</v>
      </c>
      <c r="C80" s="5">
        <v>1</v>
      </c>
      <c r="D80" s="6">
        <f>IF(C80=1, 516.84, IF(C80=2, 852.79, IF(C80=3, 1213.48, IF(C80=4, 1705.58, 0))))</f>
        <v>516.84</v>
      </c>
      <c r="E80" s="6">
        <f>B80*D80</f>
        <v>8734.5959999999995</v>
      </c>
      <c r="F80" s="6">
        <f>B80*927.67</f>
        <v>15677.622999999998</v>
      </c>
      <c r="G80" s="6">
        <f>F80-E80</f>
        <v>6943.0269999999982</v>
      </c>
    </row>
    <row r="81" spans="1:11" x14ac:dyDescent="0.25">
      <c r="A81" s="4">
        <v>2</v>
      </c>
      <c r="B81" s="5">
        <v>16.96</v>
      </c>
      <c r="C81" s="5">
        <v>1</v>
      </c>
      <c r="D81" s="6">
        <f>IF(C81=1, 516.84, IF(C81=2, 852.79, IF(C81=3, 1213.48, IF(C81=4, 1705.58, 0))))</f>
        <v>516.84</v>
      </c>
      <c r="E81" s="6">
        <f>B81*D81</f>
        <v>8765.6064000000006</v>
      </c>
      <c r="F81" s="6">
        <f>B81*927.67</f>
        <v>15733.2832</v>
      </c>
      <c r="G81" s="6">
        <f>F81-E81</f>
        <v>6967.6767999999993</v>
      </c>
    </row>
    <row r="82" spans="1:11" x14ac:dyDescent="0.25">
      <c r="A82" s="4">
        <v>3</v>
      </c>
      <c r="B82" s="5">
        <v>15.07</v>
      </c>
      <c r="C82" s="5">
        <v>1</v>
      </c>
      <c r="D82" s="6">
        <f>IF(C82=1, 516.84, IF(C82=2, 852.79, IF(C82=3, 1213.48, IF(C82=4, 1705.58, 0))))</f>
        <v>516.84</v>
      </c>
      <c r="E82" s="6">
        <f>B82*D82</f>
        <v>7788.778800000001</v>
      </c>
      <c r="F82" s="6">
        <f>B82*927.67</f>
        <v>13979.9869</v>
      </c>
      <c r="G82" s="6">
        <f>F82-E82</f>
        <v>6191.2080999999989</v>
      </c>
    </row>
    <row r="83" spans="1:11" x14ac:dyDescent="0.25">
      <c r="A83" s="4">
        <v>4</v>
      </c>
      <c r="B83" s="5">
        <v>19.059999999999999</v>
      </c>
      <c r="C83" s="5">
        <v>1</v>
      </c>
      <c r="D83" s="6">
        <f>IF(C83=1, 516.84, IF(C83=2, 852.79, IF(C83=3, 1213.48, IF(C83=4, 1705.58, 0))))</f>
        <v>516.84</v>
      </c>
      <c r="E83" s="6">
        <f>B83*D83</f>
        <v>9850.9704000000002</v>
      </c>
      <c r="F83" s="6">
        <f>B83*927.67</f>
        <v>17681.390199999998</v>
      </c>
      <c r="G83" s="6">
        <f>F83-E83</f>
        <v>7830.4197999999978</v>
      </c>
    </row>
    <row r="84" spans="1:11" x14ac:dyDescent="0.25">
      <c r="A84" s="4">
        <v>5</v>
      </c>
      <c r="B84" s="5">
        <v>4.29</v>
      </c>
      <c r="C84" s="5">
        <v>1</v>
      </c>
      <c r="D84" s="6">
        <f>IF(C84=1, 516.84, IF(C84=2, 852.79, IF(C84=3, 1213.48, IF(C84=4, 1705.58, 0))))</f>
        <v>516.84</v>
      </c>
      <c r="E84" s="6">
        <f>B84*D84</f>
        <v>2217.2436000000002</v>
      </c>
      <c r="F84" s="6">
        <f>B84*927.67</f>
        <v>3979.7042999999999</v>
      </c>
      <c r="G84" s="6">
        <f>F84-E84</f>
        <v>1762.4606999999996</v>
      </c>
    </row>
    <row r="86" spans="1:11" ht="30" x14ac:dyDescent="0.25">
      <c r="A86" s="19" t="s">
        <v>6</v>
      </c>
      <c r="B86" s="4">
        <f>SUM(B80:B84)</f>
        <v>72.28</v>
      </c>
      <c r="C86" s="7">
        <f>SUMPRODUCT(B80:B84, C80:C84)/SUM(B80:B84)</f>
        <v>1</v>
      </c>
      <c r="D86" s="2">
        <f>SUMPRODUCT(B80:B84, D80:D84)/SUM(B80:B84)</f>
        <v>516.84</v>
      </c>
      <c r="E86" s="2">
        <f>SUM(E80:E84)</f>
        <v>37357.195200000002</v>
      </c>
      <c r="F86" s="2">
        <f>SUM(F80:F84)</f>
        <v>67051.987599999993</v>
      </c>
      <c r="G86" s="2">
        <f>F86-E86</f>
        <v>29694.792399999991</v>
      </c>
    </row>
    <row r="87" spans="1:11" x14ac:dyDescent="0.25">
      <c r="A87" s="8"/>
      <c r="B87" s="9"/>
      <c r="C87" s="10"/>
      <c r="D87" s="11"/>
      <c r="E87" s="11"/>
      <c r="F87" s="11"/>
      <c r="G87" s="11"/>
    </row>
    <row r="88" spans="1:11" x14ac:dyDescent="0.25">
      <c r="F88" s="18" t="s">
        <v>17</v>
      </c>
      <c r="G88" s="18" t="s">
        <v>3</v>
      </c>
      <c r="H88" s="18" t="s">
        <v>4</v>
      </c>
      <c r="I88" s="18" t="s">
        <v>5</v>
      </c>
      <c r="J88" s="18" t="s">
        <v>27</v>
      </c>
      <c r="K88" s="3" t="s">
        <v>27</v>
      </c>
    </row>
    <row r="89" spans="1:11" x14ac:dyDescent="0.25">
      <c r="F89" s="13">
        <v>1</v>
      </c>
      <c r="G89" s="12">
        <f>IF(F89=1, 516.84, IF(F89=2, 852.79, IF(F89=3, 1213.48, IF(F89=4, 1705.58, 0))))</f>
        <v>516.84</v>
      </c>
      <c r="H89" s="12">
        <f>B86*G89</f>
        <v>37357.195200000002</v>
      </c>
      <c r="I89" s="2">
        <f>F86</f>
        <v>67051.987599999993</v>
      </c>
      <c r="J89" s="2">
        <f>I89-H89</f>
        <v>29694.792399999991</v>
      </c>
      <c r="K89" s="3">
        <v>29694.792399999991</v>
      </c>
    </row>
    <row r="90" spans="1:11" x14ac:dyDescent="0.25">
      <c r="A90" s="13" t="s">
        <v>34</v>
      </c>
    </row>
    <row r="91" spans="1:11" x14ac:dyDescent="0.25">
      <c r="A91" s="18" t="s">
        <v>24</v>
      </c>
      <c r="B91" s="4">
        <v>10010</v>
      </c>
    </row>
    <row r="92" spans="1:11" x14ac:dyDescent="0.25">
      <c r="A92" s="18" t="s">
        <v>25</v>
      </c>
      <c r="B92" s="4" t="s">
        <v>18</v>
      </c>
    </row>
    <row r="94" spans="1:11" x14ac:dyDescent="0.25">
      <c r="A94" s="18" t="s">
        <v>0</v>
      </c>
      <c r="B94" s="18" t="s">
        <v>1</v>
      </c>
      <c r="C94" s="18" t="s">
        <v>2</v>
      </c>
      <c r="D94" s="18" t="s">
        <v>32</v>
      </c>
      <c r="E94" s="18" t="s">
        <v>4</v>
      </c>
      <c r="F94" s="18" t="s">
        <v>5</v>
      </c>
      <c r="G94" s="18" t="s">
        <v>27</v>
      </c>
    </row>
    <row r="95" spans="1:11" x14ac:dyDescent="0.25">
      <c r="A95" s="4">
        <v>5</v>
      </c>
      <c r="B95" s="5">
        <v>5.76</v>
      </c>
      <c r="C95" s="5">
        <v>1</v>
      </c>
      <c r="D95" s="6">
        <f>IF(C95=1, 516.84, IF(C95=2, 852.79, IF(C95=3, 1213.48, IF(C95=4, 1705.58, 0))))</f>
        <v>516.84</v>
      </c>
      <c r="E95" s="6">
        <f>B95*D95</f>
        <v>2976.9983999999999</v>
      </c>
      <c r="F95" s="6">
        <f>B95*927.67</f>
        <v>5343.3791999999994</v>
      </c>
      <c r="G95" s="6">
        <f>F95-E95</f>
        <v>2366.3807999999995</v>
      </c>
    </row>
    <row r="96" spans="1:11" x14ac:dyDescent="0.25">
      <c r="A96" s="4">
        <v>6</v>
      </c>
      <c r="B96" s="5">
        <v>7.18</v>
      </c>
      <c r="C96" s="5">
        <v>1</v>
      </c>
      <c r="D96" s="6">
        <f>IF(C96=1, 516.84, IF(C96=2, 852.79, IF(C96=3, 1213.48, IF(C96=4, 1705.58, 0))))</f>
        <v>516.84</v>
      </c>
      <c r="E96" s="6">
        <f>B96*D96</f>
        <v>3710.9112</v>
      </c>
      <c r="F96" s="6">
        <f>B96*927.67</f>
        <v>6660.6705999999995</v>
      </c>
      <c r="G96" s="6">
        <f>F96-E96</f>
        <v>2949.7593999999995</v>
      </c>
    </row>
    <row r="97" spans="1:10" x14ac:dyDescent="0.25">
      <c r="A97" s="4">
        <v>7</v>
      </c>
      <c r="B97" s="5">
        <v>19.010000000000002</v>
      </c>
      <c r="C97" s="5">
        <v>2</v>
      </c>
      <c r="D97" s="6">
        <f>IF(C97=1, 516.84, IF(C97=2, 852.79, IF(C97=3, 1213.48, IF(C97=4, 1705.58, 0))))</f>
        <v>852.79</v>
      </c>
      <c r="E97" s="6">
        <f>B97*D97</f>
        <v>16211.537900000001</v>
      </c>
      <c r="F97" s="6">
        <f>B97*927.67</f>
        <v>17635.006700000002</v>
      </c>
      <c r="G97" s="6">
        <f>F97-E97</f>
        <v>1423.4688000000006</v>
      </c>
    </row>
    <row r="98" spans="1:10" x14ac:dyDescent="0.25">
      <c r="A98" s="4">
        <v>8</v>
      </c>
      <c r="B98" s="5">
        <v>6.38</v>
      </c>
      <c r="C98" s="5">
        <v>2</v>
      </c>
      <c r="D98" s="6">
        <f>IF(C98=1, 516.84, IF(C98=2, 852.79, IF(C98=3, 1213.48, IF(C98=4, 1705.58, 0))))</f>
        <v>852.79</v>
      </c>
      <c r="E98" s="6">
        <f>B98*D98</f>
        <v>5440.8001999999997</v>
      </c>
      <c r="F98" s="6">
        <f>B98*927.67</f>
        <v>5918.5346</v>
      </c>
      <c r="G98" s="6">
        <f>F98-E98</f>
        <v>477.73440000000028</v>
      </c>
    </row>
    <row r="100" spans="1:10" ht="30" x14ac:dyDescent="0.25">
      <c r="A100" s="19" t="s">
        <v>6</v>
      </c>
      <c r="B100" s="4">
        <f>SUM(B95:B98)</f>
        <v>38.330000000000005</v>
      </c>
      <c r="C100" s="7">
        <f>SUMPRODUCT(B95:B98, C95:C98)/SUM(B95:B98)</f>
        <v>1.6624054265588308</v>
      </c>
      <c r="D100" s="2">
        <f>SUMPRODUCT(B95:B98, D95:D98)/SUM(B95:B98)</f>
        <v>739.37510305243927</v>
      </c>
      <c r="E100" s="2">
        <f>SUM(E95:E98)</f>
        <v>28340.2477</v>
      </c>
      <c r="F100" s="2">
        <f>SUM(F95:F98)</f>
        <v>35557.591099999998</v>
      </c>
      <c r="G100" s="2">
        <f>F100-E100</f>
        <v>7217.3433999999979</v>
      </c>
    </row>
    <row r="101" spans="1:10" x14ac:dyDescent="0.25">
      <c r="A101" s="8"/>
      <c r="B101" s="9"/>
      <c r="C101" s="10"/>
      <c r="D101" s="11"/>
      <c r="E101" s="11"/>
      <c r="F101" s="11"/>
      <c r="G101" s="11"/>
    </row>
    <row r="102" spans="1:10" x14ac:dyDescent="0.25">
      <c r="F102" s="18" t="s">
        <v>17</v>
      </c>
      <c r="G102" s="18" t="s">
        <v>3</v>
      </c>
      <c r="H102" s="18" t="s">
        <v>4</v>
      </c>
      <c r="I102" s="18" t="s">
        <v>5</v>
      </c>
      <c r="J102" s="18" t="s">
        <v>27</v>
      </c>
    </row>
    <row r="103" spans="1:10" x14ac:dyDescent="0.25">
      <c r="F103" s="13">
        <v>1</v>
      </c>
      <c r="G103" s="12">
        <f>IF(F103=1, 516.84, IF(F103=2, 852.79, IF(F103=3, 1213.48, IF(F103=4, 1705.58, 0))))</f>
        <v>516.84</v>
      </c>
      <c r="H103" s="12">
        <f>B100*G103</f>
        <v>19810.477200000005</v>
      </c>
      <c r="I103" s="2">
        <f>F100</f>
        <v>35557.591099999998</v>
      </c>
      <c r="J103" s="2">
        <f>I103-H103</f>
        <v>15747.113899999993</v>
      </c>
    </row>
    <row r="104" spans="1:10" x14ac:dyDescent="0.25">
      <c r="A104" s="13" t="s">
        <v>35</v>
      </c>
    </row>
    <row r="105" spans="1:10" x14ac:dyDescent="0.25">
      <c r="A105" s="18" t="s">
        <v>24</v>
      </c>
      <c r="B105" s="4">
        <v>10702</v>
      </c>
    </row>
    <row r="106" spans="1:10" x14ac:dyDescent="0.25">
      <c r="A106" s="18" t="s">
        <v>25</v>
      </c>
      <c r="B106" s="4" t="s">
        <v>19</v>
      </c>
    </row>
    <row r="108" spans="1:10" x14ac:dyDescent="0.25">
      <c r="A108" s="18" t="s">
        <v>0</v>
      </c>
      <c r="B108" s="18" t="s">
        <v>1</v>
      </c>
      <c r="C108" s="18" t="s">
        <v>2</v>
      </c>
      <c r="D108" s="18" t="s">
        <v>32</v>
      </c>
      <c r="E108" s="18" t="s">
        <v>4</v>
      </c>
      <c r="F108" s="18" t="s">
        <v>5</v>
      </c>
      <c r="G108" s="18" t="s">
        <v>27</v>
      </c>
    </row>
    <row r="109" spans="1:10" x14ac:dyDescent="0.25">
      <c r="A109" s="4">
        <v>1</v>
      </c>
      <c r="B109" s="5">
        <v>11.6</v>
      </c>
      <c r="C109" s="5">
        <v>1</v>
      </c>
      <c r="D109" s="6">
        <f>IF(C109=1, 516.84, IF(C109=2, 852.79, IF(C109=3, 1213.48, IF(C109=4, 1705.58, 0))))</f>
        <v>516.84</v>
      </c>
      <c r="E109" s="6">
        <f>B109*D109</f>
        <v>5995.3440000000001</v>
      </c>
      <c r="F109" s="6">
        <f>B109*927.67</f>
        <v>10760.972</v>
      </c>
      <c r="G109" s="6">
        <f>F109-E109</f>
        <v>4765.6279999999997</v>
      </c>
    </row>
    <row r="110" spans="1:10" x14ac:dyDescent="0.25">
      <c r="A110" s="4">
        <v>2</v>
      </c>
      <c r="B110" s="5">
        <v>5.43</v>
      </c>
      <c r="C110" s="5">
        <v>2</v>
      </c>
      <c r="D110" s="6">
        <f>IF(C110=1, 516.84, IF(C110=2, 852.79, IF(C110=3, 1213.48, IF(C110=4, 1705.58, 0))))</f>
        <v>852.79</v>
      </c>
      <c r="E110" s="6">
        <f>B110*D110</f>
        <v>4630.6496999999999</v>
      </c>
      <c r="F110" s="6">
        <f>B110*927.67</f>
        <v>5037.2480999999998</v>
      </c>
      <c r="G110" s="6">
        <f>F110-E110</f>
        <v>406.59839999999986</v>
      </c>
    </row>
    <row r="111" spans="1:10" x14ac:dyDescent="0.25">
      <c r="A111" s="4">
        <v>4</v>
      </c>
      <c r="B111" s="5">
        <v>19.260000000000002</v>
      </c>
      <c r="C111" s="5">
        <v>2</v>
      </c>
      <c r="D111" s="6">
        <f>IF(C111=1, 516.84, IF(C111=2, 852.79, IF(C111=3, 1213.48, IF(C111=4, 1705.58, 0))))</f>
        <v>852.79</v>
      </c>
      <c r="E111" s="6">
        <f>B111*D111</f>
        <v>16424.735400000001</v>
      </c>
      <c r="F111" s="6">
        <f>B111*927.67</f>
        <v>17866.924200000001</v>
      </c>
      <c r="G111" s="6">
        <f>F111-E111</f>
        <v>1442.1887999999999</v>
      </c>
    </row>
    <row r="112" spans="1:10" x14ac:dyDescent="0.25">
      <c r="A112" s="4">
        <v>5</v>
      </c>
      <c r="B112" s="5">
        <v>14.61</v>
      </c>
      <c r="C112" s="5">
        <v>2</v>
      </c>
      <c r="D112" s="6">
        <f>IF(C112=1, 516.84, IF(C112=2, 852.79, IF(C112=3, 1213.48, IF(C112=4, 1705.58, 0))))</f>
        <v>852.79</v>
      </c>
      <c r="E112" s="6">
        <f>B112*D112</f>
        <v>12459.2619</v>
      </c>
      <c r="F112" s="6">
        <f>B112*927.67</f>
        <v>13553.258699999998</v>
      </c>
      <c r="G112" s="6">
        <f>F112-E112</f>
        <v>1093.996799999999</v>
      </c>
    </row>
    <row r="114" spans="1:10" ht="30" x14ac:dyDescent="0.25">
      <c r="A114" s="19" t="s">
        <v>6</v>
      </c>
      <c r="B114" s="4">
        <f>SUM(B109:B112)</f>
        <v>50.900000000000006</v>
      </c>
      <c r="C114" s="7">
        <f>SUMPRODUCT(B109:B112, C109:C112)/SUM(B109:B112)</f>
        <v>1.7721021611001964</v>
      </c>
      <c r="D114" s="2">
        <f>SUMPRODUCT(B109:B112, D109:D112)/SUM(B109:B112)</f>
        <v>776.22772102161093</v>
      </c>
      <c r="E114" s="2">
        <f>SUM(E109:E112)</f>
        <v>39509.991000000002</v>
      </c>
      <c r="F114" s="2">
        <f>SUM(F109:F112)</f>
        <v>47218.402999999998</v>
      </c>
      <c r="G114" s="2">
        <f>F114-E114</f>
        <v>7708.4119999999966</v>
      </c>
    </row>
    <row r="115" spans="1:10" x14ac:dyDescent="0.25">
      <c r="A115" s="8"/>
      <c r="B115" s="9"/>
      <c r="C115" s="10"/>
      <c r="D115" s="11"/>
      <c r="E115" s="11"/>
      <c r="F115" s="11"/>
      <c r="G115" s="11"/>
    </row>
    <row r="116" spans="1:10" x14ac:dyDescent="0.25">
      <c r="F116" s="18" t="s">
        <v>17</v>
      </c>
      <c r="G116" s="18" t="s">
        <v>3</v>
      </c>
      <c r="H116" s="18" t="s">
        <v>4</v>
      </c>
      <c r="I116" s="18" t="s">
        <v>5</v>
      </c>
      <c r="J116" s="18" t="s">
        <v>27</v>
      </c>
    </row>
    <row r="117" spans="1:10" x14ac:dyDescent="0.25">
      <c r="F117" s="13">
        <v>2</v>
      </c>
      <c r="G117" s="12">
        <f>IF(F117=1, 516.84, IF(F117=2, 852.79, IF(F117=3, 1213.48, IF(F117=4, 1705.58, 0))))</f>
        <v>852.79</v>
      </c>
      <c r="H117" s="12">
        <f>B114*G117</f>
        <v>43407.011000000006</v>
      </c>
      <c r="I117" s="2">
        <f>F114</f>
        <v>47218.402999999998</v>
      </c>
      <c r="J117" s="2">
        <f>I117-H117</f>
        <v>3811.3919999999925</v>
      </c>
    </row>
    <row r="118" spans="1:10" x14ac:dyDescent="0.25">
      <c r="A118" s="13" t="s">
        <v>35</v>
      </c>
    </row>
    <row r="119" spans="1:10" x14ac:dyDescent="0.25">
      <c r="A119" s="18" t="s">
        <v>24</v>
      </c>
      <c r="B119" s="4">
        <v>10092</v>
      </c>
    </row>
    <row r="120" spans="1:10" x14ac:dyDescent="0.25">
      <c r="A120" s="18" t="s">
        <v>25</v>
      </c>
      <c r="B120" s="4" t="s">
        <v>20</v>
      </c>
    </row>
    <row r="122" spans="1:10" x14ac:dyDescent="0.25">
      <c r="A122" s="18" t="s">
        <v>0</v>
      </c>
      <c r="B122" s="18" t="s">
        <v>1</v>
      </c>
      <c r="C122" s="18" t="s">
        <v>2</v>
      </c>
      <c r="D122" s="18" t="s">
        <v>32</v>
      </c>
      <c r="E122" s="18" t="s">
        <v>4</v>
      </c>
      <c r="F122" s="18" t="s">
        <v>5</v>
      </c>
      <c r="G122" s="18" t="s">
        <v>27</v>
      </c>
    </row>
    <row r="123" spans="1:10" x14ac:dyDescent="0.25">
      <c r="A123" s="4">
        <v>21</v>
      </c>
      <c r="B123" s="5">
        <v>9.14</v>
      </c>
      <c r="C123" s="5">
        <v>2</v>
      </c>
      <c r="D123" s="6">
        <f>IF(C123=1, 516.84, IF(C123=2, 852.79, IF(C123=3, 1213.48, IF(C123=4, 1705.58, 0))))</f>
        <v>852.79</v>
      </c>
      <c r="E123" s="6">
        <f>B123*D123</f>
        <v>7794.5006000000003</v>
      </c>
      <c r="F123" s="6">
        <f>B123*927.67</f>
        <v>8478.9038</v>
      </c>
      <c r="G123" s="6">
        <f>F123-E123</f>
        <v>684.40319999999974</v>
      </c>
    </row>
    <row r="125" spans="1:10" ht="30" x14ac:dyDescent="0.25">
      <c r="A125" s="19" t="s">
        <v>6</v>
      </c>
      <c r="B125" s="4">
        <f>SUM(B123:B123)</f>
        <v>9.14</v>
      </c>
      <c r="C125" s="7">
        <f>SUMPRODUCT(B123:B123, C123:C123)/SUM(B123:B123)</f>
        <v>2</v>
      </c>
      <c r="D125" s="2">
        <f>SUMPRODUCT(B123:B123, D123:D123)/SUM(B123:B123)</f>
        <v>852.79</v>
      </c>
      <c r="E125" s="2">
        <f>SUM(E123:E123)</f>
        <v>7794.5006000000003</v>
      </c>
      <c r="F125" s="2">
        <f>SUM(F123:F123)</f>
        <v>8478.9038</v>
      </c>
      <c r="G125" s="2">
        <f>F125-E125</f>
        <v>684.40319999999974</v>
      </c>
    </row>
    <row r="126" spans="1:10" x14ac:dyDescent="0.25">
      <c r="A126" s="8"/>
      <c r="B126" s="9"/>
      <c r="C126" s="10"/>
      <c r="D126" s="11"/>
      <c r="E126" s="11"/>
      <c r="F126" s="11"/>
      <c r="G126" s="11"/>
    </row>
    <row r="127" spans="1:10" x14ac:dyDescent="0.25">
      <c r="F127" s="18" t="s">
        <v>17</v>
      </c>
      <c r="G127" s="18" t="s">
        <v>3</v>
      </c>
      <c r="H127" s="18" t="s">
        <v>4</v>
      </c>
      <c r="I127" s="18" t="s">
        <v>5</v>
      </c>
      <c r="J127" s="18" t="s">
        <v>27</v>
      </c>
    </row>
    <row r="128" spans="1:10" x14ac:dyDescent="0.25">
      <c r="F128" s="13">
        <v>2</v>
      </c>
      <c r="G128" s="12">
        <f>IF(F128=1, 516.84, IF(F128=2, 852.79, IF(F128=3, 1213.48, IF(F128=4, 1705.58, 0))))</f>
        <v>852.79</v>
      </c>
      <c r="H128" s="12">
        <f>B125*G128</f>
        <v>7794.5006000000003</v>
      </c>
      <c r="I128" s="2">
        <f>F125</f>
        <v>8478.9038</v>
      </c>
      <c r="J128" s="2">
        <f>I128-H128</f>
        <v>684.40319999999974</v>
      </c>
    </row>
    <row r="129" spans="1:10" x14ac:dyDescent="0.25">
      <c r="A129" s="13" t="s">
        <v>34</v>
      </c>
    </row>
    <row r="130" spans="1:10" x14ac:dyDescent="0.25">
      <c r="A130" s="18" t="s">
        <v>24</v>
      </c>
      <c r="B130" s="4">
        <v>10075</v>
      </c>
    </row>
    <row r="131" spans="1:10" x14ac:dyDescent="0.25">
      <c r="A131" s="18" t="s">
        <v>25</v>
      </c>
      <c r="B131" s="4" t="s">
        <v>21</v>
      </c>
    </row>
    <row r="133" spans="1:10" x14ac:dyDescent="0.25">
      <c r="A133" s="18" t="s">
        <v>0</v>
      </c>
      <c r="B133" s="18" t="s">
        <v>1</v>
      </c>
      <c r="C133" s="18" t="s">
        <v>2</v>
      </c>
      <c r="D133" s="18" t="s">
        <v>32</v>
      </c>
      <c r="E133" s="18" t="s">
        <v>4</v>
      </c>
      <c r="F133" s="18" t="s">
        <v>5</v>
      </c>
      <c r="G133" s="18" t="s">
        <v>27</v>
      </c>
    </row>
    <row r="134" spans="1:10" x14ac:dyDescent="0.25">
      <c r="A134" s="4">
        <v>7</v>
      </c>
      <c r="B134" s="5">
        <v>4.63</v>
      </c>
      <c r="C134" s="5">
        <v>2</v>
      </c>
      <c r="D134" s="6">
        <f>IF(C134=1, 516.84, IF(C134=2, 852.79, IF(C134=3, 1213.48, IF(C134=4, 1705.58, 0))))</f>
        <v>852.79</v>
      </c>
      <c r="E134" s="6">
        <f>B134*D134</f>
        <v>3948.4177</v>
      </c>
      <c r="F134" s="6">
        <f>B134*927.67</f>
        <v>4295.1120999999994</v>
      </c>
      <c r="G134" s="6">
        <f>F134-E134</f>
        <v>346.6943999999994</v>
      </c>
    </row>
    <row r="135" spans="1:10" x14ac:dyDescent="0.25">
      <c r="A135" s="4">
        <v>8</v>
      </c>
      <c r="B135" s="5">
        <v>17.93</v>
      </c>
      <c r="C135" s="5">
        <v>2</v>
      </c>
      <c r="D135" s="6">
        <f>IF(C135=1, 516.84, IF(C135=2, 852.79, IF(C135=3, 1213.48, IF(C135=4, 1705.58, 0))))</f>
        <v>852.79</v>
      </c>
      <c r="E135" s="6">
        <f>B135*D135</f>
        <v>15290.5247</v>
      </c>
      <c r="F135" s="6">
        <f>B135*927.67</f>
        <v>16633.123100000001</v>
      </c>
      <c r="G135" s="6">
        <f>F135-E135</f>
        <v>1342.5984000000008</v>
      </c>
    </row>
    <row r="136" spans="1:10" x14ac:dyDescent="0.25">
      <c r="A136" s="4">
        <v>9</v>
      </c>
      <c r="B136" s="5">
        <v>9.8800000000000008</v>
      </c>
      <c r="C136" s="5">
        <v>1</v>
      </c>
      <c r="D136" s="6">
        <f>IF(C136=1, 516.84, IF(C136=2, 852.79, IF(C136=3, 1213.48, IF(C136=4, 1705.58, 0))))</f>
        <v>516.84</v>
      </c>
      <c r="E136" s="6">
        <f>B136*D136</f>
        <v>5106.3792000000003</v>
      </c>
      <c r="F136" s="6">
        <f>B136*927.67</f>
        <v>9165.3796000000002</v>
      </c>
      <c r="G136" s="6">
        <f>F136-E136</f>
        <v>4059.0003999999999</v>
      </c>
    </row>
    <row r="138" spans="1:10" ht="30" x14ac:dyDescent="0.25">
      <c r="A138" s="19" t="s">
        <v>6</v>
      </c>
      <c r="B138" s="4">
        <f>SUM(B134:B136)</f>
        <v>32.44</v>
      </c>
      <c r="C138" s="7">
        <f>SUMPRODUCT(B134:B136, C134:C136)/SUM(B134:B136)</f>
        <v>1.6954377311960545</v>
      </c>
      <c r="D138" s="2">
        <f>SUMPRODUCT(B134:B136, D134:D136)/SUM(B134:B136)</f>
        <v>750.47230579531447</v>
      </c>
      <c r="E138" s="2">
        <f>SUM(E134:E136)</f>
        <v>24345.321599999999</v>
      </c>
      <c r="F138" s="2">
        <f>SUM(F134:F136)</f>
        <v>30093.614799999999</v>
      </c>
      <c r="G138" s="2">
        <f>F138-E138</f>
        <v>5748.2932000000001</v>
      </c>
    </row>
    <row r="139" spans="1:10" x14ac:dyDescent="0.25">
      <c r="A139" s="8"/>
      <c r="B139" s="9"/>
      <c r="C139" s="10"/>
      <c r="D139" s="11"/>
      <c r="E139" s="11"/>
      <c r="F139" s="11"/>
      <c r="G139" s="11"/>
    </row>
    <row r="140" spans="1:10" x14ac:dyDescent="0.25">
      <c r="F140" s="18" t="s">
        <v>17</v>
      </c>
      <c r="G140" s="18" t="s">
        <v>3</v>
      </c>
      <c r="H140" s="18" t="s">
        <v>4</v>
      </c>
      <c r="I140" s="18" t="s">
        <v>5</v>
      </c>
      <c r="J140" s="18" t="s">
        <v>27</v>
      </c>
    </row>
    <row r="141" spans="1:10" x14ac:dyDescent="0.25">
      <c r="F141" s="13">
        <v>2</v>
      </c>
      <c r="G141" s="12">
        <f>IF(F141=1, 516.84, IF(F141=2, 852.79, IF(F141=3, 1213.48, IF(F141=4, 1705.58, 0))))</f>
        <v>852.79</v>
      </c>
      <c r="H141" s="12">
        <f>B138*G141</f>
        <v>27664.507599999997</v>
      </c>
      <c r="I141" s="2">
        <f>F138</f>
        <v>30093.614799999999</v>
      </c>
      <c r="J141" s="2">
        <f>I141-H141</f>
        <v>2429.1072000000022</v>
      </c>
    </row>
    <row r="142" spans="1:10" x14ac:dyDescent="0.25">
      <c r="A142" s="13" t="s">
        <v>35</v>
      </c>
    </row>
    <row r="143" spans="1:10" x14ac:dyDescent="0.25">
      <c r="A143" s="18" t="s">
        <v>24</v>
      </c>
      <c r="B143" s="4">
        <v>10699</v>
      </c>
    </row>
    <row r="144" spans="1:10" x14ac:dyDescent="0.25">
      <c r="A144" s="18" t="s">
        <v>25</v>
      </c>
      <c r="B144" s="4" t="s">
        <v>28</v>
      </c>
    </row>
    <row r="146" spans="1:10" x14ac:dyDescent="0.25">
      <c r="A146" s="18" t="s">
        <v>0</v>
      </c>
      <c r="B146" s="18" t="s">
        <v>1</v>
      </c>
      <c r="C146" s="18" t="s">
        <v>2</v>
      </c>
      <c r="D146" s="18" t="s">
        <v>32</v>
      </c>
      <c r="E146" s="18" t="s">
        <v>4</v>
      </c>
      <c r="F146" s="18" t="s">
        <v>5</v>
      </c>
      <c r="G146" s="18" t="s">
        <v>27</v>
      </c>
    </row>
    <row r="147" spans="1:10" x14ac:dyDescent="0.25">
      <c r="A147" s="13">
        <v>1</v>
      </c>
      <c r="B147" s="15">
        <v>4.4400000000000004</v>
      </c>
      <c r="C147" s="5">
        <v>2</v>
      </c>
      <c r="D147" s="6">
        <f>IF(C147=1, 516.84, IF(C147=2, 852.79, IF(C147=3, 1213.48, IF(C147=4, 1705.58, 0))))</f>
        <v>852.79</v>
      </c>
      <c r="E147" s="6">
        <f>B147*D147</f>
        <v>3786.3876</v>
      </c>
      <c r="F147" s="6">
        <f>B147*927.67</f>
        <v>4118.8548000000001</v>
      </c>
      <c r="G147" s="6">
        <f>F147-E147</f>
        <v>332.46720000000005</v>
      </c>
    </row>
    <row r="148" spans="1:10" x14ac:dyDescent="0.25">
      <c r="A148" s="13">
        <v>2</v>
      </c>
      <c r="B148" s="15">
        <v>2.78</v>
      </c>
      <c r="C148" s="5">
        <v>1</v>
      </c>
      <c r="D148" s="6">
        <f>IF(C148=1, 516.84, IF(C148=2, 852.79, IF(C148=3, 1213.48, IF(C148=4, 1705.58, 0))))</f>
        <v>516.84</v>
      </c>
      <c r="E148" s="6">
        <f>B148*D148</f>
        <v>1436.8152</v>
      </c>
      <c r="F148" s="6">
        <f>B148*927.67</f>
        <v>2578.9225999999999</v>
      </c>
      <c r="G148" s="6">
        <f>F148-E148</f>
        <v>1142.1073999999999</v>
      </c>
    </row>
    <row r="149" spans="1:10" x14ac:dyDescent="0.25">
      <c r="A149" s="13">
        <v>3</v>
      </c>
      <c r="B149" s="15">
        <v>2.0699999999999998</v>
      </c>
      <c r="C149" s="5">
        <v>1</v>
      </c>
      <c r="D149" s="6">
        <f>IF(C149=1, 516.84, IF(C149=2, 852.79, IF(C149=3, 1213.48, IF(C149=4, 1705.58, 0))))</f>
        <v>516.84</v>
      </c>
      <c r="E149" s="6">
        <f>B149*D149</f>
        <v>1069.8588</v>
      </c>
      <c r="F149" s="6">
        <f>B149*927.67</f>
        <v>1920.2768999999998</v>
      </c>
      <c r="G149" s="6">
        <f>F149-E149</f>
        <v>850.41809999999987</v>
      </c>
    </row>
    <row r="150" spans="1:10" x14ac:dyDescent="0.25">
      <c r="A150" s="13">
        <v>12</v>
      </c>
      <c r="B150" s="15">
        <v>4.16</v>
      </c>
      <c r="C150" s="5">
        <v>3</v>
      </c>
      <c r="D150" s="6">
        <f>IF(C150=1, 516.84, IF(C150=2, 852.79, IF(C150=3, 1213.48, IF(C150=4, 1705.58, 0))))</f>
        <v>1213.48</v>
      </c>
      <c r="E150" s="6">
        <f>B150*D150</f>
        <v>5048.0767999999998</v>
      </c>
      <c r="F150" s="6">
        <f>B150*927.67</f>
        <v>3859.1071999999999</v>
      </c>
      <c r="G150" s="6">
        <f>F150-E150</f>
        <v>-1188.9695999999999</v>
      </c>
    </row>
    <row r="152" spans="1:10" ht="30" x14ac:dyDescent="0.25">
      <c r="A152" s="19" t="s">
        <v>6</v>
      </c>
      <c r="B152" s="4">
        <f>SUM(B147:B150)</f>
        <v>13.450000000000001</v>
      </c>
      <c r="C152" s="7">
        <f>SUMPRODUCT(B147:B150, C147:C150)/SUM(B147:B150)</f>
        <v>1.9486988847583642</v>
      </c>
      <c r="D152" s="2">
        <f>SUMPRODUCT(B147:B150, D147:D150)/SUM(B147:B150)</f>
        <v>843.20731598512998</v>
      </c>
      <c r="E152" s="2">
        <f>SUM(E147:E150)</f>
        <v>11341.1384</v>
      </c>
      <c r="F152" s="2">
        <f>SUM(F147:F150)</f>
        <v>12477.1615</v>
      </c>
      <c r="G152" s="2">
        <f>F152-E152</f>
        <v>1136.0231000000003</v>
      </c>
    </row>
    <row r="153" spans="1:10" x14ac:dyDescent="0.25">
      <c r="A153" s="8"/>
      <c r="B153" s="9"/>
      <c r="C153" s="10"/>
      <c r="D153" s="11"/>
      <c r="E153" s="11"/>
      <c r="F153" s="11"/>
      <c r="G153" s="11"/>
    </row>
    <row r="154" spans="1:10" x14ac:dyDescent="0.25">
      <c r="F154" s="18" t="s">
        <v>17</v>
      </c>
      <c r="G154" s="18" t="s">
        <v>3</v>
      </c>
      <c r="H154" s="18" t="s">
        <v>4</v>
      </c>
      <c r="I154" s="18" t="s">
        <v>5</v>
      </c>
      <c r="J154" s="18" t="s">
        <v>27</v>
      </c>
    </row>
    <row r="155" spans="1:10" x14ac:dyDescent="0.25">
      <c r="F155" s="13">
        <v>2</v>
      </c>
      <c r="G155" s="12">
        <f>IF(F155=1, 516.84, IF(F155=2, 852.79, IF(F155=3, 1213.48, IF(F155=4, 1705.58, 0))))</f>
        <v>852.79</v>
      </c>
      <c r="H155" s="12">
        <f>B152*G155</f>
        <v>11470.0255</v>
      </c>
      <c r="I155" s="2">
        <f>F152</f>
        <v>12477.1615</v>
      </c>
      <c r="J155" s="2">
        <f>I155-H155</f>
        <v>1007.1360000000004</v>
      </c>
    </row>
    <row r="156" spans="1:10" x14ac:dyDescent="0.25">
      <c r="A156" s="13" t="s">
        <v>35</v>
      </c>
    </row>
    <row r="157" spans="1:10" x14ac:dyDescent="0.25">
      <c r="A157" s="18" t="s">
        <v>24</v>
      </c>
      <c r="B157" s="4">
        <v>10073</v>
      </c>
    </row>
    <row r="158" spans="1:10" x14ac:dyDescent="0.25">
      <c r="A158" s="18" t="s">
        <v>25</v>
      </c>
      <c r="B158" s="4" t="s">
        <v>9</v>
      </c>
    </row>
    <row r="160" spans="1:10" x14ac:dyDescent="0.25">
      <c r="A160" s="18" t="s">
        <v>0</v>
      </c>
      <c r="B160" s="18" t="s">
        <v>1</v>
      </c>
      <c r="C160" s="18" t="s">
        <v>2</v>
      </c>
      <c r="D160" s="18" t="s">
        <v>32</v>
      </c>
      <c r="E160" s="18" t="s">
        <v>4</v>
      </c>
      <c r="F160" s="18" t="s">
        <v>5</v>
      </c>
      <c r="G160" s="18" t="s">
        <v>27</v>
      </c>
    </row>
    <row r="161" spans="1:10" x14ac:dyDescent="0.25">
      <c r="A161" s="4">
        <v>14</v>
      </c>
      <c r="B161" s="5">
        <v>23.12</v>
      </c>
      <c r="C161" s="5">
        <v>2</v>
      </c>
      <c r="D161" s="6">
        <f>IF(C161=1, 516.84, IF(C161=2, 852.79, IF(C161=3, 1213.48, IF(C161=4, 1705.58, 0))))</f>
        <v>852.79</v>
      </c>
      <c r="E161" s="6">
        <f>B161*D161</f>
        <v>19716.504799999999</v>
      </c>
      <c r="F161" s="6">
        <f>B161*927.67</f>
        <v>21447.7304</v>
      </c>
      <c r="G161" s="6">
        <f>F161-E161</f>
        <v>1731.2256000000016</v>
      </c>
    </row>
    <row r="162" spans="1:10" x14ac:dyDescent="0.25">
      <c r="A162" s="4">
        <v>27</v>
      </c>
      <c r="B162" s="5">
        <v>16.420000000000002</v>
      </c>
      <c r="C162" s="5">
        <v>1</v>
      </c>
      <c r="D162" s="6">
        <f>IF(C162=1, 516.84, IF(C162=2, 852.79, IF(C162=3, 1213.48, IF(C162=4, 1705.58, 0))))</f>
        <v>516.84</v>
      </c>
      <c r="E162" s="6">
        <f>B162*D162</f>
        <v>8486.5128000000022</v>
      </c>
      <c r="F162" s="6">
        <f>B162*927.67</f>
        <v>15232.341400000001</v>
      </c>
      <c r="G162" s="6">
        <f>F162-E162</f>
        <v>6745.8285999999989</v>
      </c>
    </row>
    <row r="163" spans="1:10" x14ac:dyDescent="0.25">
      <c r="A163" s="4">
        <v>28</v>
      </c>
      <c r="B163" s="5">
        <v>17.36</v>
      </c>
      <c r="C163" s="5">
        <v>1</v>
      </c>
      <c r="D163" s="6">
        <f>IF(C163=1, 516.84, IF(C163=2, 852.79, IF(C163=3, 1213.48, IF(C163=4, 1705.58, 0))))</f>
        <v>516.84</v>
      </c>
      <c r="E163" s="6">
        <f>B163*D163</f>
        <v>8972.3423999999995</v>
      </c>
      <c r="F163" s="6">
        <f>B163*927.67</f>
        <v>16104.351199999999</v>
      </c>
      <c r="G163" s="6">
        <f>F163-E163</f>
        <v>7132.0087999999996</v>
      </c>
    </row>
    <row r="164" spans="1:10" x14ac:dyDescent="0.25">
      <c r="A164" s="4">
        <v>34</v>
      </c>
      <c r="B164" s="5">
        <v>43.82</v>
      </c>
      <c r="C164" s="5">
        <v>2</v>
      </c>
      <c r="D164" s="6">
        <f>IF(C164=1, 516.84, IF(C164=2, 852.79, IF(C164=3, 1213.48, IF(C164=4, 1705.58, 0))))</f>
        <v>852.79</v>
      </c>
      <c r="E164" s="6">
        <f>B164*D164</f>
        <v>37369.257799999999</v>
      </c>
      <c r="F164" s="6">
        <f>B164*927.67</f>
        <v>40650.499400000001</v>
      </c>
      <c r="G164" s="6">
        <f>F164-E164</f>
        <v>3281.2416000000012</v>
      </c>
    </row>
    <row r="166" spans="1:10" ht="30" x14ac:dyDescent="0.25">
      <c r="A166" s="19" t="s">
        <v>6</v>
      </c>
      <c r="B166" s="4">
        <f>SUM(B161:B164)</f>
        <v>100.72</v>
      </c>
      <c r="C166" s="7">
        <f>SUMPRODUCT(B161:B164, C161:C164)/SUM(B161:B164)</f>
        <v>1.6646147736298653</v>
      </c>
      <c r="D166" s="2">
        <f>SUMPRODUCT(B161:B164, D161:D164)/SUM(B161:B164)</f>
        <v>740.11733320095323</v>
      </c>
      <c r="E166" s="2">
        <f>SUM(E161:E164)</f>
        <v>74544.617800000007</v>
      </c>
      <c r="F166" s="2">
        <f>SUM(F161:F164)</f>
        <v>93434.92240000001</v>
      </c>
      <c r="G166" s="2">
        <f>F166-E166</f>
        <v>18890.304600000003</v>
      </c>
    </row>
    <row r="167" spans="1:10" x14ac:dyDescent="0.25">
      <c r="A167" s="8"/>
      <c r="B167" s="9"/>
      <c r="C167" s="10"/>
      <c r="D167" s="11"/>
      <c r="E167" s="11"/>
      <c r="F167" s="11"/>
      <c r="G167" s="11"/>
    </row>
    <row r="168" spans="1:10" x14ac:dyDescent="0.25">
      <c r="F168" s="18" t="s">
        <v>17</v>
      </c>
      <c r="G168" s="18" t="s">
        <v>3</v>
      </c>
      <c r="H168" s="18" t="s">
        <v>4</v>
      </c>
      <c r="I168" s="18" t="s">
        <v>5</v>
      </c>
      <c r="J168" s="18" t="s">
        <v>27</v>
      </c>
    </row>
    <row r="169" spans="1:10" x14ac:dyDescent="0.25">
      <c r="F169" s="13">
        <v>1</v>
      </c>
      <c r="G169" s="12">
        <f>IF(F169=1, 516.84, IF(F169=2, 852.79, IF(F169=3, 1213.48, IF(F169=4, 1705.58, 0))))</f>
        <v>516.84</v>
      </c>
      <c r="H169" s="12">
        <f>B166*G169</f>
        <v>52056.124800000005</v>
      </c>
      <c r="I169" s="2">
        <f>F166</f>
        <v>93434.92240000001</v>
      </c>
      <c r="J169" s="2">
        <f>I169-H169</f>
        <v>41378.797600000005</v>
      </c>
    </row>
    <row r="170" spans="1:10" x14ac:dyDescent="0.25">
      <c r="A170" s="13" t="s">
        <v>35</v>
      </c>
    </row>
    <row r="171" spans="1:10" x14ac:dyDescent="0.25">
      <c r="A171" s="18" t="s">
        <v>24</v>
      </c>
      <c r="B171" s="4">
        <v>10368</v>
      </c>
    </row>
    <row r="172" spans="1:10" x14ac:dyDescent="0.25">
      <c r="A172" s="18" t="s">
        <v>25</v>
      </c>
      <c r="B172" s="4" t="s">
        <v>36</v>
      </c>
    </row>
    <row r="174" spans="1:10" x14ac:dyDescent="0.25">
      <c r="A174" s="18" t="s">
        <v>0</v>
      </c>
      <c r="B174" s="18" t="s">
        <v>1</v>
      </c>
      <c r="C174" s="18" t="s">
        <v>2</v>
      </c>
      <c r="D174" s="18" t="s">
        <v>32</v>
      </c>
      <c r="E174" s="18" t="s">
        <v>4</v>
      </c>
      <c r="F174" s="18" t="s">
        <v>5</v>
      </c>
      <c r="G174" s="18" t="s">
        <v>27</v>
      </c>
    </row>
    <row r="175" spans="1:10" x14ac:dyDescent="0.25">
      <c r="A175" s="13">
        <v>1</v>
      </c>
      <c r="B175" s="15">
        <v>12.08</v>
      </c>
      <c r="C175" s="5">
        <v>2</v>
      </c>
      <c r="D175" s="6">
        <f t="shared" ref="D175:D186" si="4">IF(C175=1, 516.84, IF(C175=2, 852.79, IF(C175=3, 1213.48, IF(C175=4, 1705.58, 0))))</f>
        <v>852.79</v>
      </c>
      <c r="E175" s="6">
        <f>B175*D175</f>
        <v>10301.7032</v>
      </c>
      <c r="F175" s="6">
        <f t="shared" ref="F175:F186" si="5">B175*927.67</f>
        <v>11206.2536</v>
      </c>
      <c r="G175" s="6">
        <f>F175-E175</f>
        <v>904.55040000000008</v>
      </c>
    </row>
    <row r="176" spans="1:10" x14ac:dyDescent="0.25">
      <c r="A176" s="13">
        <v>2</v>
      </c>
      <c r="B176" s="15">
        <v>14.23</v>
      </c>
      <c r="C176" s="5">
        <v>2</v>
      </c>
      <c r="D176" s="6">
        <f t="shared" si="4"/>
        <v>852.79</v>
      </c>
      <c r="E176" s="6">
        <f>B176*D176</f>
        <v>12135.2017</v>
      </c>
      <c r="F176" s="6">
        <f t="shared" si="5"/>
        <v>13200.7441</v>
      </c>
      <c r="G176" s="6">
        <f>F176-E176</f>
        <v>1065.5424000000003</v>
      </c>
    </row>
    <row r="177" spans="1:10" x14ac:dyDescent="0.25">
      <c r="A177" s="13">
        <v>14</v>
      </c>
      <c r="B177" s="15">
        <v>20.46</v>
      </c>
      <c r="C177" s="5">
        <v>2</v>
      </c>
      <c r="D177" s="6">
        <f t="shared" si="4"/>
        <v>852.79</v>
      </c>
      <c r="E177" s="6">
        <f>B177*D177</f>
        <v>17448.0834</v>
      </c>
      <c r="F177" s="6">
        <f t="shared" si="5"/>
        <v>18980.128199999999</v>
      </c>
      <c r="G177" s="6">
        <f>F177-E177</f>
        <v>1532.0447999999997</v>
      </c>
    </row>
    <row r="178" spans="1:10" x14ac:dyDescent="0.25">
      <c r="A178" s="13"/>
      <c r="B178" s="15"/>
      <c r="C178" s="5"/>
      <c r="D178" s="6">
        <f t="shared" si="4"/>
        <v>0</v>
      </c>
      <c r="E178" s="6">
        <f>B178*D178</f>
        <v>0</v>
      </c>
      <c r="F178" s="6">
        <f t="shared" si="5"/>
        <v>0</v>
      </c>
      <c r="G178" s="6">
        <f>F178-E178</f>
        <v>0</v>
      </c>
    </row>
    <row r="179" spans="1:10" x14ac:dyDescent="0.25">
      <c r="A179" s="13"/>
      <c r="B179" s="15"/>
      <c r="C179" s="5"/>
      <c r="D179" s="6">
        <f t="shared" si="4"/>
        <v>0</v>
      </c>
      <c r="E179" s="6">
        <f>B179*D179</f>
        <v>0</v>
      </c>
      <c r="F179" s="6">
        <f t="shared" si="5"/>
        <v>0</v>
      </c>
      <c r="G179" s="6">
        <f>F179-E179</f>
        <v>0</v>
      </c>
    </row>
    <row r="180" spans="1:10" x14ac:dyDescent="0.25">
      <c r="A180" s="13"/>
      <c r="B180" s="15"/>
      <c r="C180" s="5"/>
      <c r="D180" s="6">
        <f t="shared" si="4"/>
        <v>0</v>
      </c>
      <c r="E180" s="6">
        <f t="shared" ref="E180" si="6">B180*D180</f>
        <v>0</v>
      </c>
      <c r="F180" s="6">
        <f t="shared" si="5"/>
        <v>0</v>
      </c>
      <c r="G180" s="6">
        <f t="shared" ref="G180:G186" si="7">F180-E180</f>
        <v>0</v>
      </c>
    </row>
    <row r="181" spans="1:10" x14ac:dyDescent="0.25">
      <c r="A181" s="13"/>
      <c r="B181" s="15"/>
      <c r="C181" s="5"/>
      <c r="D181" s="6">
        <f t="shared" si="4"/>
        <v>0</v>
      </c>
      <c r="E181" s="6">
        <f>B181*D181</f>
        <v>0</v>
      </c>
      <c r="F181" s="6">
        <f t="shared" si="5"/>
        <v>0</v>
      </c>
      <c r="G181" s="6">
        <f t="shared" si="7"/>
        <v>0</v>
      </c>
    </row>
    <row r="182" spans="1:10" x14ac:dyDescent="0.25">
      <c r="A182" s="13"/>
      <c r="B182" s="15"/>
      <c r="C182" s="5"/>
      <c r="D182" s="6">
        <f t="shared" si="4"/>
        <v>0</v>
      </c>
      <c r="E182" s="6">
        <f t="shared" ref="E182:E186" si="8">B182*D182</f>
        <v>0</v>
      </c>
      <c r="F182" s="6">
        <f t="shared" si="5"/>
        <v>0</v>
      </c>
      <c r="G182" s="6">
        <f t="shared" si="7"/>
        <v>0</v>
      </c>
    </row>
    <row r="183" spans="1:10" x14ac:dyDescent="0.25">
      <c r="A183" s="13"/>
      <c r="B183" s="15"/>
      <c r="C183" s="5"/>
      <c r="D183" s="6">
        <f t="shared" si="4"/>
        <v>0</v>
      </c>
      <c r="E183" s="6">
        <f t="shared" si="8"/>
        <v>0</v>
      </c>
      <c r="F183" s="6">
        <f t="shared" si="5"/>
        <v>0</v>
      </c>
      <c r="G183" s="6">
        <f t="shared" si="7"/>
        <v>0</v>
      </c>
    </row>
    <row r="184" spans="1:10" x14ac:dyDescent="0.25">
      <c r="A184" s="13"/>
      <c r="B184" s="15"/>
      <c r="C184" s="5"/>
      <c r="D184" s="6">
        <f t="shared" si="4"/>
        <v>0</v>
      </c>
      <c r="E184" s="6">
        <f t="shared" si="8"/>
        <v>0</v>
      </c>
      <c r="F184" s="6">
        <f t="shared" si="5"/>
        <v>0</v>
      </c>
      <c r="G184" s="6">
        <f t="shared" si="7"/>
        <v>0</v>
      </c>
    </row>
    <row r="185" spans="1:10" x14ac:dyDescent="0.25">
      <c r="A185" s="13"/>
      <c r="B185" s="15"/>
      <c r="C185" s="5"/>
      <c r="D185" s="6">
        <f t="shared" si="4"/>
        <v>0</v>
      </c>
      <c r="E185" s="6">
        <f t="shared" si="8"/>
        <v>0</v>
      </c>
      <c r="F185" s="6">
        <f t="shared" si="5"/>
        <v>0</v>
      </c>
      <c r="G185" s="6">
        <f t="shared" si="7"/>
        <v>0</v>
      </c>
    </row>
    <row r="186" spans="1:10" x14ac:dyDescent="0.25">
      <c r="A186" s="13"/>
      <c r="B186" s="15"/>
      <c r="C186" s="5"/>
      <c r="D186" s="6">
        <f t="shared" si="4"/>
        <v>0</v>
      </c>
      <c r="E186" s="6">
        <f t="shared" si="8"/>
        <v>0</v>
      </c>
      <c r="F186" s="6">
        <f t="shared" si="5"/>
        <v>0</v>
      </c>
      <c r="G186" s="6">
        <f t="shared" si="7"/>
        <v>0</v>
      </c>
    </row>
    <row r="188" spans="1:10" ht="30" x14ac:dyDescent="0.25">
      <c r="A188" s="19" t="s">
        <v>6</v>
      </c>
      <c r="B188" s="4">
        <f>SUM(B175:B186)</f>
        <v>46.77</v>
      </c>
      <c r="C188" s="7">
        <f>SUMPRODUCT(B175:B186, C175:C186)/SUM(B175:B186)</f>
        <v>2</v>
      </c>
      <c r="D188" s="2">
        <f>SUMPRODUCT(B175:B186, D175:D186)/SUM(B175:B186)</f>
        <v>852.78999999999985</v>
      </c>
      <c r="E188" s="2">
        <f>SUM(E175:E186)</f>
        <v>39884.988299999997</v>
      </c>
      <c r="F188" s="2">
        <f>SUM(F175:F186)</f>
        <v>43387.125899999999</v>
      </c>
      <c r="G188" s="2">
        <f>F188-E188</f>
        <v>3502.1376000000018</v>
      </c>
    </row>
    <row r="189" spans="1:10" x14ac:dyDescent="0.25">
      <c r="A189" s="8"/>
      <c r="B189" s="9"/>
      <c r="C189" s="10"/>
      <c r="D189" s="11"/>
      <c r="E189" s="11"/>
      <c r="F189" s="11"/>
      <c r="G189" s="11"/>
    </row>
    <row r="190" spans="1:10" x14ac:dyDescent="0.25">
      <c r="F190" s="18" t="s">
        <v>17</v>
      </c>
      <c r="G190" s="18" t="s">
        <v>3</v>
      </c>
      <c r="H190" s="18" t="s">
        <v>4</v>
      </c>
      <c r="I190" s="18" t="s">
        <v>5</v>
      </c>
      <c r="J190" s="18" t="s">
        <v>27</v>
      </c>
    </row>
    <row r="191" spans="1:10" x14ac:dyDescent="0.25">
      <c r="F191" s="13">
        <v>2</v>
      </c>
      <c r="G191" s="12">
        <f>IF(F191=1, 516.84, IF(F191=2, 852.79, IF(F191=3, 1213.48, IF(F191=4, 1705.58, 0))))</f>
        <v>852.79</v>
      </c>
      <c r="H191" s="12">
        <f>B188*G191</f>
        <v>39884.988300000005</v>
      </c>
      <c r="I191" s="2">
        <f>F188</f>
        <v>43387.125899999999</v>
      </c>
      <c r="J191" s="2">
        <f>I191-H191</f>
        <v>3502.1375999999946</v>
      </c>
    </row>
  </sheetData>
  <conditionalFormatting sqref="J2">
    <cfRule type="colorScale" priority="31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22">
    <cfRule type="colorScale" priority="29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36">
    <cfRule type="colorScale" priority="28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48">
    <cfRule type="colorScale" priority="27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62">
    <cfRule type="colorScale" priority="26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74">
    <cfRule type="colorScale" priority="25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89">
    <cfRule type="colorScale" priority="24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103">
    <cfRule type="colorScale" priority="20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117">
    <cfRule type="colorScale" priority="19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128">
    <cfRule type="colorScale" priority="18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141">
    <cfRule type="colorScale" priority="16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155">
    <cfRule type="colorScale" priority="13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169">
    <cfRule type="colorScale" priority="12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192:A1048576 A1:A169">
    <cfRule type="containsText" dxfId="29" priority="6" operator="containsText" text="A FAZER">
      <formula>NOT(ISERROR(SEARCH("A FAZER",A1)))</formula>
    </cfRule>
    <cfRule type="containsText" dxfId="28" priority="7" operator="containsText" text="ANDAMENTO">
      <formula>NOT(ISERROR(SEARCH("ANDAMENTO",A1)))</formula>
    </cfRule>
    <cfRule type="containsText" dxfId="27" priority="8" operator="containsText" text="BAIXADO">
      <formula>NOT(ISERROR(SEARCH("BAIXADO",A1)))</formula>
    </cfRule>
  </conditionalFormatting>
  <conditionalFormatting sqref="K2">
    <cfRule type="colorScale" priority="5">
      <colorScale>
        <cfvo type="num" val="0"/>
        <cfvo type="num" val="0"/>
        <color theme="5" tint="0.59999389629810485"/>
        <color theme="9" tint="0.59999389629810485"/>
      </colorScale>
    </cfRule>
  </conditionalFormatting>
  <conditionalFormatting sqref="A170:A191">
    <cfRule type="containsText" dxfId="26" priority="1" operator="containsText" text="A FAZER">
      <formula>NOT(ISERROR(SEARCH("A FAZER",A170)))</formula>
    </cfRule>
    <cfRule type="containsText" dxfId="25" priority="2" operator="containsText" text="ANDAMENTO">
      <formula>NOT(ISERROR(SEARCH("ANDAMENTO",A170)))</formula>
    </cfRule>
    <cfRule type="containsText" dxfId="24" priority="3" operator="containsText" text="BAIXADO">
      <formula>NOT(ISERROR(SEARCH("BAIXADO",A170)))</formula>
    </cfRule>
  </conditionalFormatting>
  <conditionalFormatting sqref="J191">
    <cfRule type="colorScale" priority="4">
      <colorScale>
        <cfvo type="num" val="0"/>
        <cfvo type="num" val="0"/>
        <color theme="5" tint="0.39997558519241921"/>
        <color theme="9" tint="0.59999389629810485"/>
      </colorScale>
    </cfRule>
  </conditionalFormatting>
  <pageMargins left="0.511811024" right="0.511811024" top="0.78740157499999996" bottom="0.78740157499999996" header="0.31496062000000002" footer="0.31496062000000002"/>
  <pageSetup paperSize="9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zoomScale="90" zoomScaleNormal="90" workbookViewId="0">
      <pane ySplit="2" topLeftCell="A117" activePane="bottomLeft" state="frozen"/>
      <selection pane="bottomLeft" activeCell="B129" sqref="B129"/>
    </sheetView>
  </sheetViews>
  <sheetFormatPr defaultRowHeight="15" x14ac:dyDescent="0.25"/>
  <cols>
    <col min="1" max="1" width="15" customWidth="1"/>
    <col min="2" max="2" width="16.28515625" bestFit="1" customWidth="1"/>
    <col min="3" max="3" width="19.28515625" bestFit="1" customWidth="1"/>
    <col min="4" max="4" width="15" bestFit="1" customWidth="1"/>
    <col min="5" max="5" width="19.7109375" bestFit="1" customWidth="1"/>
    <col min="6" max="6" width="20.5703125" bestFit="1" customWidth="1"/>
    <col min="7" max="7" width="19.28515625" bestFit="1" customWidth="1"/>
    <col min="8" max="8" width="19.7109375" bestFit="1" customWidth="1"/>
    <col min="9" max="9" width="20.5703125" bestFit="1" customWidth="1"/>
    <col min="10" max="10" width="19.28515625" bestFit="1" customWidth="1"/>
    <col min="11" max="11" width="13.7109375" customWidth="1"/>
  </cols>
  <sheetData>
    <row r="1" spans="1:11" ht="45" customHeight="1" x14ac:dyDescent="0.25">
      <c r="A1" s="1"/>
      <c r="B1" s="1"/>
      <c r="C1" s="8"/>
      <c r="D1" s="8"/>
      <c r="E1" s="8"/>
      <c r="F1" s="1"/>
      <c r="G1" s="1"/>
      <c r="H1" s="14" t="s">
        <v>4</v>
      </c>
      <c r="I1" s="14" t="s">
        <v>5</v>
      </c>
      <c r="J1" s="14" t="s">
        <v>23</v>
      </c>
      <c r="K1" s="20" t="s">
        <v>26</v>
      </c>
    </row>
    <row r="2" spans="1:11" x14ac:dyDescent="0.25">
      <c r="A2" s="1"/>
      <c r="B2" s="1"/>
      <c r="C2" s="3"/>
      <c r="D2" s="3"/>
      <c r="E2" s="3"/>
      <c r="F2" s="3"/>
      <c r="G2" s="1"/>
      <c r="H2" s="2">
        <f>SUM(H3:H1048576)</f>
        <v>356923.14620000002</v>
      </c>
      <c r="I2" s="2">
        <f>SUM(I3:I1048576)</f>
        <v>332597.52510000003</v>
      </c>
      <c r="J2" s="2">
        <f>I2-H2</f>
        <v>-24325.621099999989</v>
      </c>
      <c r="K2" s="2">
        <f>SUM(K3:K1048576)</f>
        <v>0</v>
      </c>
    </row>
    <row r="4" spans="1:11" x14ac:dyDescent="0.25">
      <c r="A4" s="13" t="s">
        <v>35</v>
      </c>
      <c r="B4" s="1"/>
      <c r="C4" s="1"/>
      <c r="D4" s="1"/>
      <c r="E4" s="1"/>
      <c r="F4" s="1"/>
      <c r="G4" s="1"/>
      <c r="H4" s="1"/>
      <c r="I4" s="1"/>
      <c r="J4" s="1"/>
    </row>
    <row r="5" spans="1:11" x14ac:dyDescent="0.25">
      <c r="A5" s="18" t="s">
        <v>24</v>
      </c>
      <c r="B5" s="4">
        <v>10667</v>
      </c>
      <c r="C5" s="1"/>
      <c r="D5" s="1"/>
      <c r="E5" s="1"/>
      <c r="F5" s="1"/>
      <c r="G5" s="1"/>
      <c r="H5" s="1"/>
      <c r="I5" s="1"/>
      <c r="J5" s="1"/>
    </row>
    <row r="6" spans="1:11" x14ac:dyDescent="0.25">
      <c r="A6" s="18" t="s">
        <v>25</v>
      </c>
      <c r="B6" s="4" t="s">
        <v>29</v>
      </c>
      <c r="C6" s="1"/>
      <c r="D6" s="1"/>
      <c r="E6" s="1"/>
      <c r="F6" s="1"/>
      <c r="G6" s="1"/>
      <c r="H6" s="1"/>
      <c r="I6" s="1"/>
      <c r="J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x14ac:dyDescent="0.25">
      <c r="A8" s="18" t="s">
        <v>0</v>
      </c>
      <c r="B8" s="18" t="s">
        <v>1</v>
      </c>
      <c r="C8" s="18" t="s">
        <v>2</v>
      </c>
      <c r="D8" s="18" t="s">
        <v>32</v>
      </c>
      <c r="E8" s="18" t="s">
        <v>4</v>
      </c>
      <c r="F8" s="18" t="s">
        <v>5</v>
      </c>
      <c r="G8" s="18" t="s">
        <v>27</v>
      </c>
      <c r="H8" s="1"/>
      <c r="I8" s="1"/>
      <c r="J8" s="1"/>
    </row>
    <row r="9" spans="1:11" x14ac:dyDescent="0.25">
      <c r="A9" s="4">
        <v>3</v>
      </c>
      <c r="B9" s="5">
        <v>5.28</v>
      </c>
      <c r="C9" s="5">
        <v>3</v>
      </c>
      <c r="D9" s="6">
        <f>IF(C9=1, 516.84, IF(C9=2, 852.79, IF(C9=3, 1213.48, IF(C9=4, 1705.58, 0))))</f>
        <v>1213.48</v>
      </c>
      <c r="E9" s="6">
        <f>B9*D9</f>
        <v>6407.1744000000008</v>
      </c>
      <c r="F9" s="6">
        <f>B9*927.67</f>
        <v>4898.0976000000001</v>
      </c>
      <c r="G9" s="6">
        <f>F9-E9</f>
        <v>-1509.0768000000007</v>
      </c>
      <c r="H9" s="1"/>
      <c r="I9" s="1"/>
      <c r="J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1" ht="30" x14ac:dyDescent="0.25">
      <c r="A11" s="19" t="s">
        <v>6</v>
      </c>
      <c r="B11" s="4">
        <f>SUM(B9:B9)</f>
        <v>5.28</v>
      </c>
      <c r="C11" s="7">
        <f>SUMPRODUCT(B9:B9, C9:C9)/SUM(B9:B9)</f>
        <v>3</v>
      </c>
      <c r="D11" s="2">
        <f>SUMPRODUCT(B9:B9, D9:D9)/SUM(B9:B9)</f>
        <v>1213.48</v>
      </c>
      <c r="E11" s="2">
        <f>SUM(E9:E9)</f>
        <v>6407.1744000000008</v>
      </c>
      <c r="F11" s="2">
        <f>SUM(F9:F9)</f>
        <v>4898.0976000000001</v>
      </c>
      <c r="G11" s="2">
        <f>F11-E11</f>
        <v>-1509.0768000000007</v>
      </c>
      <c r="H11" s="1"/>
      <c r="I11" s="1"/>
      <c r="J11" s="1"/>
    </row>
    <row r="12" spans="1:11" x14ac:dyDescent="0.25">
      <c r="A12" s="8"/>
      <c r="B12" s="9"/>
      <c r="C12" s="10"/>
      <c r="D12" s="11"/>
      <c r="E12" s="11"/>
      <c r="F12" s="11"/>
      <c r="G12" s="11"/>
      <c r="H12" s="1"/>
      <c r="I12" s="1"/>
      <c r="J12" s="1"/>
    </row>
    <row r="13" spans="1:11" x14ac:dyDescent="0.25">
      <c r="A13" s="1"/>
      <c r="B13" s="1"/>
      <c r="C13" s="1"/>
      <c r="D13" s="1"/>
      <c r="E13" s="1"/>
      <c r="F13" s="18" t="s">
        <v>17</v>
      </c>
      <c r="G13" s="18" t="s">
        <v>3</v>
      </c>
      <c r="H13" s="18" t="s">
        <v>4</v>
      </c>
      <c r="I13" s="18" t="s">
        <v>5</v>
      </c>
      <c r="J13" s="18" t="s">
        <v>27</v>
      </c>
    </row>
    <row r="14" spans="1:11" x14ac:dyDescent="0.25">
      <c r="A14" s="1"/>
      <c r="B14" s="1"/>
      <c r="C14" s="1"/>
      <c r="D14" s="1"/>
      <c r="E14" s="1"/>
      <c r="F14" s="13">
        <v>3</v>
      </c>
      <c r="G14" s="12">
        <f>IF(F14=1, 516.84, IF(F14=2, 852.79, IF(F14=3, 1213.48, IF(F14=4, 1705.58, 0))))</f>
        <v>1213.48</v>
      </c>
      <c r="H14" s="12">
        <f>B11*G14</f>
        <v>6407.1744000000008</v>
      </c>
      <c r="I14" s="2">
        <f>F11</f>
        <v>4898.0976000000001</v>
      </c>
      <c r="J14" s="2">
        <f>I14-H14</f>
        <v>-1509.0768000000007</v>
      </c>
    </row>
    <row r="15" spans="1:11" x14ac:dyDescent="0.25">
      <c r="A15" s="13" t="s">
        <v>35</v>
      </c>
      <c r="B15" s="1"/>
      <c r="C15" s="1"/>
      <c r="D15" s="1"/>
      <c r="E15" s="1"/>
      <c r="F15" s="1"/>
      <c r="G15" s="1"/>
      <c r="H15" s="1"/>
      <c r="I15" s="1"/>
      <c r="J15" s="1"/>
    </row>
    <row r="16" spans="1:11" x14ac:dyDescent="0.25">
      <c r="A16" s="18" t="s">
        <v>24</v>
      </c>
      <c r="B16" s="4">
        <v>10232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8" t="s">
        <v>25</v>
      </c>
      <c r="B17" s="4" t="s">
        <v>30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8" t="s">
        <v>0</v>
      </c>
      <c r="B19" s="18" t="s">
        <v>1</v>
      </c>
      <c r="C19" s="18" t="s">
        <v>2</v>
      </c>
      <c r="D19" s="18" t="s">
        <v>32</v>
      </c>
      <c r="E19" s="18" t="s">
        <v>4</v>
      </c>
      <c r="F19" s="18" t="s">
        <v>5</v>
      </c>
      <c r="G19" s="18" t="s">
        <v>27</v>
      </c>
      <c r="H19" s="1"/>
      <c r="I19" s="1"/>
      <c r="J19" s="1"/>
    </row>
    <row r="20" spans="1:10" x14ac:dyDescent="0.25">
      <c r="A20" s="4">
        <v>1</v>
      </c>
      <c r="B20" s="5">
        <v>7.08</v>
      </c>
      <c r="C20" s="5">
        <v>3</v>
      </c>
      <c r="D20" s="6">
        <f>IF(C20=1, 516.84, IF(C20=2, 852.79, IF(C20=3, 1213.48, IF(C20=4, 1705.58, 0))))</f>
        <v>1213.48</v>
      </c>
      <c r="E20" s="6">
        <f>B20*D20</f>
        <v>8591.4384000000009</v>
      </c>
      <c r="F20" s="6">
        <f>B20*927.67</f>
        <v>6567.9035999999996</v>
      </c>
      <c r="G20" s="6">
        <f>F20-E20</f>
        <v>-2023.5348000000013</v>
      </c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29.25" customHeight="1" x14ac:dyDescent="0.25">
      <c r="A22" s="19" t="s">
        <v>6</v>
      </c>
      <c r="B22" s="4">
        <f>SUM(B20:B20)</f>
        <v>7.08</v>
      </c>
      <c r="C22" s="7">
        <f>SUMPRODUCT(B20:B20, C20:C20)/SUM(B20:B20)</f>
        <v>3.0000000000000004</v>
      </c>
      <c r="D22" s="2">
        <f>SUMPRODUCT(B20:B20, D20:D20)/SUM(B20:B20)</f>
        <v>1213.48</v>
      </c>
      <c r="E22" s="2">
        <f>SUM(E20:E20)</f>
        <v>8591.4384000000009</v>
      </c>
      <c r="F22" s="2">
        <f>SUM(F20:F20)</f>
        <v>6567.9035999999996</v>
      </c>
      <c r="G22" s="2">
        <f>F22-E22</f>
        <v>-2023.5348000000013</v>
      </c>
      <c r="H22" s="1"/>
      <c r="I22" s="1"/>
      <c r="J22" s="1"/>
    </row>
    <row r="23" spans="1:10" x14ac:dyDescent="0.25">
      <c r="A23" s="8"/>
      <c r="B23" s="9"/>
      <c r="C23" s="10"/>
      <c r="D23" s="11"/>
      <c r="E23" s="11"/>
      <c r="F23" s="11"/>
      <c r="G23" s="1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8" t="s">
        <v>17</v>
      </c>
      <c r="G24" s="18" t="s">
        <v>3</v>
      </c>
      <c r="H24" s="18" t="s">
        <v>4</v>
      </c>
      <c r="I24" s="18" t="s">
        <v>5</v>
      </c>
      <c r="J24" s="18" t="s">
        <v>27</v>
      </c>
    </row>
    <row r="25" spans="1:10" x14ac:dyDescent="0.25">
      <c r="A25" s="1"/>
      <c r="B25" s="1"/>
      <c r="C25" s="1"/>
      <c r="D25" s="1"/>
      <c r="E25" s="1"/>
      <c r="F25" s="13">
        <v>3</v>
      </c>
      <c r="G25" s="12">
        <f>IF(F25=1, 516.84, IF(F25=2, 852.79, IF(F25=3, 1213.48, IF(F25=4, 1705.58, 0))))</f>
        <v>1213.48</v>
      </c>
      <c r="H25" s="12">
        <f>B22*G25</f>
        <v>8591.4384000000009</v>
      </c>
      <c r="I25" s="2">
        <f>F22</f>
        <v>6567.9035999999996</v>
      </c>
      <c r="J25" s="2">
        <f>I25-H25</f>
        <v>-2023.5348000000013</v>
      </c>
    </row>
    <row r="26" spans="1:10" x14ac:dyDescent="0.25">
      <c r="A26" s="13" t="s">
        <v>35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8" t="s">
        <v>24</v>
      </c>
      <c r="B27" s="4">
        <v>10781</v>
      </c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8" t="s">
        <v>25</v>
      </c>
      <c r="B28" s="4" t="s">
        <v>15</v>
      </c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8" t="s">
        <v>0</v>
      </c>
      <c r="B30" s="18" t="s">
        <v>1</v>
      </c>
      <c r="C30" s="18" t="s">
        <v>2</v>
      </c>
      <c r="D30" s="18" t="s">
        <v>32</v>
      </c>
      <c r="E30" s="18" t="s">
        <v>4</v>
      </c>
      <c r="F30" s="18" t="s">
        <v>5</v>
      </c>
      <c r="G30" s="18" t="s">
        <v>27</v>
      </c>
      <c r="H30" s="1"/>
      <c r="I30" s="1"/>
      <c r="J30" s="1"/>
    </row>
    <row r="31" spans="1:10" x14ac:dyDescent="0.25">
      <c r="A31" s="4">
        <v>1</v>
      </c>
      <c r="B31" s="5">
        <v>1.18</v>
      </c>
      <c r="C31" s="5">
        <v>3</v>
      </c>
      <c r="D31" s="6">
        <f>IF(C31=1, 516.84, IF(C31=2, 852.79, IF(C31=3, 1213.48, IF(C31=4, 1705.58, 0))))</f>
        <v>1213.48</v>
      </c>
      <c r="E31" s="6">
        <f>B31*D31</f>
        <v>1431.9063999999998</v>
      </c>
      <c r="F31" s="6">
        <f>B31*927.67</f>
        <v>1094.6505999999999</v>
      </c>
      <c r="G31" s="6">
        <f>F31-E31</f>
        <v>-337.25579999999991</v>
      </c>
      <c r="H31" s="1"/>
      <c r="I31" s="1"/>
      <c r="J31" s="1"/>
    </row>
    <row r="32" spans="1:10" x14ac:dyDescent="0.25">
      <c r="A32" s="4">
        <v>2</v>
      </c>
      <c r="B32" s="5">
        <v>6.8</v>
      </c>
      <c r="C32" s="5">
        <v>3</v>
      </c>
      <c r="D32" s="6">
        <f>IF(C32=1, 516.84, IF(C32=2, 852.79, IF(C32=3, 1213.48, IF(C32=4, 1705.58, 0))))</f>
        <v>1213.48</v>
      </c>
      <c r="E32" s="6">
        <f>B32*D32</f>
        <v>8251.6640000000007</v>
      </c>
      <c r="F32" s="6">
        <f>B32*927.67</f>
        <v>6308.1559999999999</v>
      </c>
      <c r="G32" s="6">
        <f>F32-E32</f>
        <v>-1943.5080000000007</v>
      </c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0" x14ac:dyDescent="0.25">
      <c r="A34" s="19" t="s">
        <v>6</v>
      </c>
      <c r="B34" s="4">
        <f>SUM(B31:B32)</f>
        <v>7.9799999999999995</v>
      </c>
      <c r="C34" s="7">
        <f>SUMPRODUCT(B31:B32, C31:C32)/SUM(B31:B32)</f>
        <v>3</v>
      </c>
      <c r="D34" s="2">
        <f>SUMPRODUCT(B31:B32, D31:D32)/SUM(B31:B32)</f>
        <v>1213.4800000000002</v>
      </c>
      <c r="E34" s="2">
        <f>SUM(E31:E32)</f>
        <v>9683.5704000000005</v>
      </c>
      <c r="F34" s="2">
        <f>SUM(F31:F32)</f>
        <v>7402.8065999999999</v>
      </c>
      <c r="G34" s="2">
        <f>F34-E34</f>
        <v>-2280.7638000000006</v>
      </c>
      <c r="H34" s="1"/>
      <c r="I34" s="1"/>
      <c r="J34" s="1"/>
    </row>
    <row r="35" spans="1:10" x14ac:dyDescent="0.25">
      <c r="A35" s="8"/>
      <c r="B35" s="9"/>
      <c r="C35" s="10"/>
      <c r="D35" s="11"/>
      <c r="E35" s="11"/>
      <c r="F35" s="11"/>
      <c r="G35" s="1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8" t="s">
        <v>17</v>
      </c>
      <c r="G36" s="18" t="s">
        <v>3</v>
      </c>
      <c r="H36" s="18" t="s">
        <v>4</v>
      </c>
      <c r="I36" s="18" t="s">
        <v>5</v>
      </c>
      <c r="J36" s="18" t="s">
        <v>27</v>
      </c>
    </row>
    <row r="37" spans="1:10" x14ac:dyDescent="0.25">
      <c r="A37" s="1"/>
      <c r="B37" s="1"/>
      <c r="C37" s="1"/>
      <c r="D37" s="1"/>
      <c r="E37" s="1"/>
      <c r="F37" s="13">
        <v>3</v>
      </c>
      <c r="G37" s="12">
        <f>IF(F37=1, 516.84, IF(F37=2, 852.79, IF(F37=3, 1213.48, IF(F37=4, 1705.58, 0))))</f>
        <v>1213.48</v>
      </c>
      <c r="H37" s="12">
        <f>B34*G37</f>
        <v>9683.5703999999987</v>
      </c>
      <c r="I37" s="2">
        <f>F34</f>
        <v>7402.8065999999999</v>
      </c>
      <c r="J37" s="2">
        <f>I37-H37</f>
        <v>-2280.7637999999988</v>
      </c>
    </row>
    <row r="38" spans="1:10" x14ac:dyDescent="0.25">
      <c r="A38" s="13" t="s">
        <v>35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8" t="s">
        <v>24</v>
      </c>
      <c r="B39" s="4">
        <v>10790</v>
      </c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8" t="s">
        <v>25</v>
      </c>
      <c r="B40" s="4" t="s">
        <v>16</v>
      </c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8" t="s">
        <v>0</v>
      </c>
      <c r="B42" s="18" t="s">
        <v>1</v>
      </c>
      <c r="C42" s="18" t="s">
        <v>2</v>
      </c>
      <c r="D42" s="18" t="s">
        <v>32</v>
      </c>
      <c r="E42" s="18" t="s">
        <v>4</v>
      </c>
      <c r="F42" s="18" t="s">
        <v>5</v>
      </c>
      <c r="G42" s="18" t="s">
        <v>27</v>
      </c>
      <c r="H42" s="1"/>
      <c r="I42" s="1"/>
      <c r="J42" s="1"/>
    </row>
    <row r="43" spans="1:10" x14ac:dyDescent="0.25">
      <c r="A43" s="4">
        <v>1</v>
      </c>
      <c r="B43" s="5">
        <v>10.41</v>
      </c>
      <c r="C43" s="5">
        <v>3</v>
      </c>
      <c r="D43" s="6">
        <f>IF(C43=1, 516.84, IF(C43=2, 852.79, IF(C43=3, 1213.48, IF(C43=4, 1705.58, 0))))</f>
        <v>1213.48</v>
      </c>
      <c r="E43" s="6">
        <f>B43*D43</f>
        <v>12632.326800000001</v>
      </c>
      <c r="F43" s="6">
        <f>B43*927.67</f>
        <v>9657.0447000000004</v>
      </c>
      <c r="G43" s="6">
        <f>F43-E43</f>
        <v>-2975.2821000000004</v>
      </c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30" x14ac:dyDescent="0.25">
      <c r="A45" s="19" t="s">
        <v>6</v>
      </c>
      <c r="B45" s="4">
        <f>SUM(B43:B43)</f>
        <v>10.41</v>
      </c>
      <c r="C45" s="7">
        <f>SUMPRODUCT(B43:B43, C43:C43)/SUM(B43:B43)</f>
        <v>3</v>
      </c>
      <c r="D45" s="2">
        <f>SUMPRODUCT(B43:B43, D43:D43)/SUM(B43:B43)</f>
        <v>1213.48</v>
      </c>
      <c r="E45" s="2">
        <f>SUM(E43:E43)</f>
        <v>12632.326800000001</v>
      </c>
      <c r="F45" s="2">
        <f>SUM(F43:F43)</f>
        <v>9657.0447000000004</v>
      </c>
      <c r="G45" s="2">
        <f>F45-E45</f>
        <v>-2975.2821000000004</v>
      </c>
      <c r="H45" s="1"/>
      <c r="I45" s="1"/>
      <c r="J45" s="1"/>
    </row>
    <row r="46" spans="1:10" x14ac:dyDescent="0.25">
      <c r="A46" s="8"/>
      <c r="B46" s="9"/>
      <c r="C46" s="10"/>
      <c r="D46" s="11"/>
      <c r="E46" s="11"/>
      <c r="F46" s="11"/>
      <c r="G46" s="1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8" t="s">
        <v>17</v>
      </c>
      <c r="G47" s="18" t="s">
        <v>3</v>
      </c>
      <c r="H47" s="18" t="s">
        <v>4</v>
      </c>
      <c r="I47" s="18" t="s">
        <v>5</v>
      </c>
      <c r="J47" s="18" t="s">
        <v>27</v>
      </c>
    </row>
    <row r="48" spans="1:10" x14ac:dyDescent="0.25">
      <c r="A48" s="1"/>
      <c r="B48" s="1"/>
      <c r="C48" s="1"/>
      <c r="D48" s="1"/>
      <c r="E48" s="1"/>
      <c r="F48" s="13">
        <v>3</v>
      </c>
      <c r="G48" s="12">
        <f>IF(F48=1, 516.84, IF(F48=2, 852.79, IF(F48=3, 1213.48, IF(F48=4, 1705.58, 0))))</f>
        <v>1213.48</v>
      </c>
      <c r="H48" s="12">
        <f>B45*G48</f>
        <v>12632.326800000001</v>
      </c>
      <c r="I48" s="2">
        <f>F45</f>
        <v>9657.0447000000004</v>
      </c>
      <c r="J48" s="2">
        <f>I48-H48</f>
        <v>-2975.2821000000004</v>
      </c>
    </row>
    <row r="49" spans="1:10" x14ac:dyDescent="0.25">
      <c r="A49" s="13" t="s">
        <v>35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8" t="s">
        <v>24</v>
      </c>
      <c r="B50" s="4">
        <v>10400</v>
      </c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8" t="s">
        <v>25</v>
      </c>
      <c r="B51" s="4" t="s">
        <v>14</v>
      </c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8" t="s">
        <v>0</v>
      </c>
      <c r="B53" s="18" t="s">
        <v>1</v>
      </c>
      <c r="C53" s="18" t="s">
        <v>2</v>
      </c>
      <c r="D53" s="18" t="s">
        <v>32</v>
      </c>
      <c r="E53" s="18" t="s">
        <v>4</v>
      </c>
      <c r="F53" s="18" t="s">
        <v>5</v>
      </c>
      <c r="G53" s="18" t="s">
        <v>27</v>
      </c>
      <c r="H53" s="1"/>
      <c r="I53" s="1"/>
      <c r="J53" s="1"/>
    </row>
    <row r="54" spans="1:10" x14ac:dyDescent="0.25">
      <c r="A54" s="4">
        <v>1</v>
      </c>
      <c r="B54" s="5">
        <v>23.21</v>
      </c>
      <c r="C54" s="5">
        <v>2</v>
      </c>
      <c r="D54" s="6">
        <f>IF(C54=1, 516.84, IF(C54=2, 852.79, IF(C54=3, 1213.48, IF(C54=4, 1705.58, 0))))</f>
        <v>852.79</v>
      </c>
      <c r="E54" s="6">
        <f>B54*D54</f>
        <v>19793.2559</v>
      </c>
      <c r="F54" s="6">
        <f>B54*927.67</f>
        <v>21531.220699999998</v>
      </c>
      <c r="G54" s="6">
        <f>F54-E54</f>
        <v>1737.9647999999979</v>
      </c>
      <c r="H54" s="1"/>
      <c r="I54" s="1"/>
      <c r="J54" s="1"/>
    </row>
    <row r="55" spans="1:10" x14ac:dyDescent="0.25">
      <c r="A55" s="4">
        <v>2</v>
      </c>
      <c r="B55" s="5">
        <v>13.77</v>
      </c>
      <c r="C55" s="5">
        <v>2</v>
      </c>
      <c r="D55" s="6">
        <f>IF(C55=1, 516.84, IF(C55=2, 852.79, IF(C55=3, 1213.48, IF(C55=4, 1705.58, 0))))</f>
        <v>852.79</v>
      </c>
      <c r="E55" s="6">
        <f>B55*D55</f>
        <v>11742.918299999999</v>
      </c>
      <c r="F55" s="6">
        <f>B55*927.67</f>
        <v>12774.015899999999</v>
      </c>
      <c r="G55" s="6">
        <f>F55-E55</f>
        <v>1031.0975999999991</v>
      </c>
      <c r="H55" s="1"/>
      <c r="I55" s="1"/>
      <c r="J55" s="1"/>
    </row>
    <row r="56" spans="1:10" x14ac:dyDescent="0.25">
      <c r="A56" s="4">
        <v>3</v>
      </c>
      <c r="B56" s="5">
        <v>19.32</v>
      </c>
      <c r="C56" s="5">
        <v>2</v>
      </c>
      <c r="D56" s="6">
        <f>IF(C56=1, 516.84, IF(C56=2, 852.79, IF(C56=3, 1213.48, IF(C56=4, 1705.58, 0))))</f>
        <v>852.79</v>
      </c>
      <c r="E56" s="6">
        <f>B56*D56</f>
        <v>16475.9028</v>
      </c>
      <c r="F56" s="6">
        <f>B56*927.67</f>
        <v>17922.5844</v>
      </c>
      <c r="G56" s="6">
        <f>F56-E56</f>
        <v>1446.6815999999999</v>
      </c>
      <c r="H56" s="1"/>
      <c r="I56" s="1"/>
      <c r="J56" s="1"/>
    </row>
    <row r="57" spans="1:10" x14ac:dyDescent="0.25">
      <c r="A57" s="4">
        <v>4</v>
      </c>
      <c r="B57" s="5">
        <v>22.93</v>
      </c>
      <c r="C57" s="5">
        <v>2</v>
      </c>
      <c r="D57" s="6">
        <f>IF(C57=1, 516.84, IF(C57=2, 852.79, IF(C57=3, 1213.48, IF(C57=4, 1705.58, 0))))</f>
        <v>852.79</v>
      </c>
      <c r="E57" s="6">
        <f>B57*D57</f>
        <v>19554.474699999999</v>
      </c>
      <c r="F57" s="6">
        <f>B57*927.67</f>
        <v>21271.473099999999</v>
      </c>
      <c r="G57" s="6">
        <f>F57-E57</f>
        <v>1716.9984000000004</v>
      </c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30" x14ac:dyDescent="0.25">
      <c r="A59" s="19" t="s">
        <v>6</v>
      </c>
      <c r="B59" s="4">
        <f>SUM(B54:B57)</f>
        <v>79.23</v>
      </c>
      <c r="C59" s="7">
        <f>SUMPRODUCT(B54:B57, C54:C57)/SUM(B54:B57)</f>
        <v>2</v>
      </c>
      <c r="D59" s="2">
        <f>SUMPRODUCT(B54:B57, D54:D57)/SUM(B54:B57)</f>
        <v>852.79000000000008</v>
      </c>
      <c r="E59" s="2">
        <f>SUM(E54:E57)</f>
        <v>67566.551700000011</v>
      </c>
      <c r="F59" s="2">
        <f>SUM(F54:F57)</f>
        <v>73499.294099999999</v>
      </c>
      <c r="G59" s="2">
        <f>F59-E59</f>
        <v>5932.7423999999883</v>
      </c>
      <c r="H59" s="1"/>
      <c r="I59" s="1"/>
      <c r="J59" s="1"/>
    </row>
    <row r="60" spans="1:10" x14ac:dyDescent="0.25">
      <c r="A60" s="8"/>
      <c r="B60" s="9"/>
      <c r="C60" s="10"/>
      <c r="D60" s="11"/>
      <c r="E60" s="11"/>
      <c r="F60" s="11"/>
      <c r="G60" s="1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8" t="s">
        <v>17</v>
      </c>
      <c r="G61" s="18" t="s">
        <v>3</v>
      </c>
      <c r="H61" s="18" t="s">
        <v>4</v>
      </c>
      <c r="I61" s="18" t="s">
        <v>5</v>
      </c>
      <c r="J61" s="18" t="s">
        <v>27</v>
      </c>
    </row>
    <row r="62" spans="1:10" x14ac:dyDescent="0.25">
      <c r="A62" s="1"/>
      <c r="B62" s="1"/>
      <c r="C62" s="1"/>
      <c r="D62" s="1"/>
      <c r="E62" s="1"/>
      <c r="F62" s="13">
        <v>2</v>
      </c>
      <c r="G62" s="12">
        <f>IF(F62=1, 516.84, IF(F62=2, 852.79, IF(F62=3, 1213.48, IF(F62=4, 1705.58, 0))))</f>
        <v>852.79</v>
      </c>
      <c r="H62" s="12">
        <f>B59*G62</f>
        <v>67566.551699999996</v>
      </c>
      <c r="I62" s="2">
        <f>F59</f>
        <v>73499.294099999999</v>
      </c>
      <c r="J62" s="2">
        <f>I62-H62</f>
        <v>5932.7424000000028</v>
      </c>
    </row>
    <row r="63" spans="1:10" x14ac:dyDescent="0.25">
      <c r="A63" s="13" t="s">
        <v>35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8" t="s">
        <v>24</v>
      </c>
      <c r="B64" s="4">
        <v>10652</v>
      </c>
      <c r="C64" s="1"/>
      <c r="D64" s="1"/>
      <c r="E64" s="1"/>
      <c r="F64" s="1"/>
      <c r="G64" s="1"/>
      <c r="H64" s="1"/>
      <c r="I64" s="3"/>
      <c r="J64" s="1"/>
    </row>
    <row r="65" spans="1:10" x14ac:dyDescent="0.25">
      <c r="A65" s="18" t="s">
        <v>25</v>
      </c>
      <c r="B65" s="4" t="s">
        <v>7</v>
      </c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6" t="s">
        <v>0</v>
      </c>
      <c r="B67" s="16" t="s">
        <v>1</v>
      </c>
      <c r="C67" s="16" t="s">
        <v>2</v>
      </c>
      <c r="D67" s="16" t="s">
        <v>32</v>
      </c>
      <c r="E67" s="16" t="s">
        <v>4</v>
      </c>
      <c r="F67" s="16" t="s">
        <v>5</v>
      </c>
      <c r="G67" s="16" t="s">
        <v>27</v>
      </c>
      <c r="H67" s="1"/>
      <c r="I67" s="1"/>
      <c r="J67" s="1"/>
    </row>
    <row r="68" spans="1:10" x14ac:dyDescent="0.25">
      <c r="A68" s="4">
        <v>1</v>
      </c>
      <c r="B68" s="5">
        <v>2.44</v>
      </c>
      <c r="C68" s="5">
        <v>1</v>
      </c>
      <c r="D68" s="6">
        <f>IF(C68=1, 516.84, IF(C68=2, 852.79, IF(C68=3, 1213.48, IF(C68=4, 1705.58, 0))))</f>
        <v>516.84</v>
      </c>
      <c r="E68" s="6">
        <f>B68*D68</f>
        <v>1261.0896</v>
      </c>
      <c r="F68" s="6">
        <f>B68*927.67</f>
        <v>2263.5147999999999</v>
      </c>
      <c r="G68" s="6">
        <f>F68-E68</f>
        <v>1002.4251999999999</v>
      </c>
      <c r="H68" s="1"/>
      <c r="I68" s="1"/>
      <c r="J68" s="1"/>
    </row>
    <row r="69" spans="1:10" x14ac:dyDescent="0.25">
      <c r="A69" s="4">
        <v>2</v>
      </c>
      <c r="B69" s="5">
        <v>21.01</v>
      </c>
      <c r="C69" s="5">
        <v>2</v>
      </c>
      <c r="D69" s="6">
        <f>IF(C69=1, 516.84, IF(C69=2, 852.79, IF(C69=3, 1213.48, IF(C69=4, 1705.58, 0))))</f>
        <v>852.79</v>
      </c>
      <c r="E69" s="6">
        <f>B69*D69</f>
        <v>17917.117900000001</v>
      </c>
      <c r="F69" s="6">
        <f>B69*927.67</f>
        <v>19490.346700000002</v>
      </c>
      <c r="G69" s="6">
        <f>F69-E69</f>
        <v>1573.2288000000008</v>
      </c>
      <c r="H69" s="1"/>
      <c r="I69" s="1"/>
      <c r="J69" s="1"/>
    </row>
    <row r="70" spans="1:10" x14ac:dyDescent="0.25">
      <c r="A70" s="4">
        <v>3</v>
      </c>
      <c r="B70" s="5">
        <v>5.12</v>
      </c>
      <c r="C70" s="5">
        <v>1</v>
      </c>
      <c r="D70" s="6">
        <f>IF(C70=1, 516.84, IF(C70=2, 852.79, IF(C70=3, 1213.48, IF(C70=4, 1705.58, 0))))</f>
        <v>516.84</v>
      </c>
      <c r="E70" s="6">
        <f>B70*D70</f>
        <v>2646.2208000000001</v>
      </c>
      <c r="F70" s="6">
        <f>B70*927.67</f>
        <v>4749.6704</v>
      </c>
      <c r="G70" s="6">
        <f>F70-E70</f>
        <v>2103.4495999999999</v>
      </c>
      <c r="H70" s="1"/>
      <c r="I70" s="1"/>
      <c r="J70" s="1"/>
    </row>
    <row r="71" spans="1:10" x14ac:dyDescent="0.25">
      <c r="A71" s="4">
        <v>4</v>
      </c>
      <c r="B71" s="5">
        <v>25.56</v>
      </c>
      <c r="C71" s="5">
        <v>3</v>
      </c>
      <c r="D71" s="6">
        <f>IF(C71=1, 516.84, IF(C71=2, 852.79, IF(C71=3, 1213.48, IF(C71=4, 1705.58, 0))))</f>
        <v>1213.48</v>
      </c>
      <c r="E71" s="6">
        <f>B71*D71</f>
        <v>31016.5488</v>
      </c>
      <c r="F71" s="6">
        <f>B71*927.67</f>
        <v>23711.245199999998</v>
      </c>
      <c r="G71" s="6">
        <f>F71-E71</f>
        <v>-7305.3036000000029</v>
      </c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30" x14ac:dyDescent="0.25">
      <c r="A73" s="17" t="s">
        <v>6</v>
      </c>
      <c r="B73" s="4">
        <f>SUM(B68:B71)</f>
        <v>54.13</v>
      </c>
      <c r="C73" s="7">
        <f>SUMPRODUCT(B68:B71, C68:C71)/SUM(B68:B71)</f>
        <v>2.3325327914280432</v>
      </c>
      <c r="D73" s="2">
        <f>SUMPRODUCT(B68:B71, D68:D71)/SUM(B68:B71)</f>
        <v>976.18653426935157</v>
      </c>
      <c r="E73" s="2">
        <f>SUM(E68:E71)</f>
        <v>52840.977100000004</v>
      </c>
      <c r="F73" s="2">
        <f>SUM(F68:F71)</f>
        <v>50214.777099999999</v>
      </c>
      <c r="G73" s="2">
        <f>F73-E73</f>
        <v>-2626.2000000000044</v>
      </c>
      <c r="H73" s="1"/>
      <c r="I73" s="1"/>
      <c r="J73" s="1"/>
    </row>
    <row r="74" spans="1:10" x14ac:dyDescent="0.25">
      <c r="A74" s="8"/>
      <c r="B74" s="9"/>
      <c r="C74" s="10"/>
      <c r="D74" s="11"/>
      <c r="E74" s="11"/>
      <c r="F74" s="11"/>
      <c r="G74" s="1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6" t="s">
        <v>17</v>
      </c>
      <c r="G75" s="16" t="s">
        <v>3</v>
      </c>
      <c r="H75" s="16" t="s">
        <v>4</v>
      </c>
      <c r="I75" s="16" t="s">
        <v>5</v>
      </c>
      <c r="J75" s="16" t="s">
        <v>27</v>
      </c>
    </row>
    <row r="76" spans="1:10" x14ac:dyDescent="0.25">
      <c r="A76" s="1"/>
      <c r="B76" s="1"/>
      <c r="C76" s="1"/>
      <c r="D76" s="1"/>
      <c r="E76" s="1"/>
      <c r="F76" s="4">
        <v>2</v>
      </c>
      <c r="G76" s="12">
        <f>IF(F76=1, 516.84, IF(F76=2, 852.79, IF(F76=3, 1213.48, IF(F76=4, 1705.58, 0))))</f>
        <v>852.79</v>
      </c>
      <c r="H76" s="12">
        <f>B73*G76</f>
        <v>46161.522700000001</v>
      </c>
      <c r="I76" s="2">
        <f>F73</f>
        <v>50214.777099999999</v>
      </c>
      <c r="J76" s="2">
        <f>I76-H76</f>
        <v>4053.254399999998</v>
      </c>
    </row>
    <row r="77" spans="1:10" x14ac:dyDescent="0.25">
      <c r="A77" s="13" t="s">
        <v>35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8" t="s">
        <v>24</v>
      </c>
      <c r="B78" s="4">
        <v>10586</v>
      </c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8" t="s">
        <v>25</v>
      </c>
      <c r="B79" s="4" t="s">
        <v>22</v>
      </c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8" t="s">
        <v>0</v>
      </c>
      <c r="B81" s="18" t="s">
        <v>1</v>
      </c>
      <c r="C81" s="18" t="s">
        <v>2</v>
      </c>
      <c r="D81" s="18" t="s">
        <v>32</v>
      </c>
      <c r="E81" s="18" t="s">
        <v>4</v>
      </c>
      <c r="F81" s="18" t="s">
        <v>5</v>
      </c>
      <c r="G81" s="18" t="s">
        <v>27</v>
      </c>
      <c r="H81" s="1"/>
      <c r="I81" s="1"/>
      <c r="J81" s="1"/>
    </row>
    <row r="82" spans="1:10" x14ac:dyDescent="0.25">
      <c r="A82" s="4">
        <v>2</v>
      </c>
      <c r="B82" s="5">
        <v>5.32</v>
      </c>
      <c r="C82" s="5">
        <v>2</v>
      </c>
      <c r="D82" s="6">
        <f t="shared" ref="D82:D88" si="0">IF(C82=1, 516.84, IF(C82=2, 852.79, IF(C82=3, 1213.48, IF(C82=4, 1705.58, 0))))</f>
        <v>852.79</v>
      </c>
      <c r="E82" s="6">
        <f t="shared" ref="E82:E88" si="1">B82*D82</f>
        <v>4536.8428000000004</v>
      </c>
      <c r="F82" s="6">
        <f t="shared" ref="F82:F88" si="2">B82*927.67</f>
        <v>4935.2043999999996</v>
      </c>
      <c r="G82" s="6">
        <f t="shared" ref="G82:G88" si="3">F82-E82</f>
        <v>398.36159999999927</v>
      </c>
      <c r="H82" s="1"/>
      <c r="I82" s="1"/>
      <c r="J82" s="1"/>
    </row>
    <row r="83" spans="1:10" x14ac:dyDescent="0.25">
      <c r="A83" s="4">
        <v>11</v>
      </c>
      <c r="B83" s="5">
        <v>17.809999999999999</v>
      </c>
      <c r="C83" s="5">
        <v>2</v>
      </c>
      <c r="D83" s="6">
        <f t="shared" si="0"/>
        <v>852.79</v>
      </c>
      <c r="E83" s="6">
        <f t="shared" si="1"/>
        <v>15188.189899999998</v>
      </c>
      <c r="F83" s="6">
        <f t="shared" si="2"/>
        <v>16521.802699999997</v>
      </c>
      <c r="G83" s="6">
        <f t="shared" si="3"/>
        <v>1333.612799999999</v>
      </c>
      <c r="H83" s="1"/>
      <c r="I83" s="1"/>
      <c r="J83" s="1"/>
    </row>
    <row r="84" spans="1:10" x14ac:dyDescent="0.25">
      <c r="A84" s="4">
        <v>14</v>
      </c>
      <c r="B84" s="5">
        <v>11.53</v>
      </c>
      <c r="C84" s="5">
        <v>2</v>
      </c>
      <c r="D84" s="6">
        <f t="shared" si="0"/>
        <v>852.79</v>
      </c>
      <c r="E84" s="6">
        <f t="shared" si="1"/>
        <v>9832.6686999999984</v>
      </c>
      <c r="F84" s="6">
        <f t="shared" si="2"/>
        <v>10696.035099999999</v>
      </c>
      <c r="G84" s="6">
        <f t="shared" si="3"/>
        <v>863.36640000000079</v>
      </c>
      <c r="H84" s="1"/>
      <c r="I84" s="1"/>
      <c r="J84" s="1"/>
    </row>
    <row r="85" spans="1:10" x14ac:dyDescent="0.25">
      <c r="A85" s="4">
        <v>15</v>
      </c>
      <c r="B85" s="5">
        <v>7.75</v>
      </c>
      <c r="C85" s="5">
        <v>2</v>
      </c>
      <c r="D85" s="6">
        <f t="shared" si="0"/>
        <v>852.79</v>
      </c>
      <c r="E85" s="6">
        <f t="shared" si="1"/>
        <v>6609.1224999999995</v>
      </c>
      <c r="F85" s="6">
        <f t="shared" si="2"/>
        <v>7189.4425000000001</v>
      </c>
      <c r="G85" s="6">
        <f t="shared" si="3"/>
        <v>580.32000000000062</v>
      </c>
      <c r="H85" s="1"/>
      <c r="I85" s="1"/>
      <c r="J85" s="1"/>
    </row>
    <row r="86" spans="1:10" x14ac:dyDescent="0.25">
      <c r="A86" s="4">
        <v>16</v>
      </c>
      <c r="B86" s="5">
        <v>2.37</v>
      </c>
      <c r="C86" s="5">
        <v>3</v>
      </c>
      <c r="D86" s="6">
        <f t="shared" si="0"/>
        <v>1213.48</v>
      </c>
      <c r="E86" s="6">
        <f t="shared" si="1"/>
        <v>2875.9476</v>
      </c>
      <c r="F86" s="6">
        <f t="shared" si="2"/>
        <v>2198.5779000000002</v>
      </c>
      <c r="G86" s="6">
        <f t="shared" si="3"/>
        <v>-677.36969999999974</v>
      </c>
      <c r="H86" s="1"/>
      <c r="I86" s="1"/>
      <c r="J86" s="1"/>
    </row>
    <row r="87" spans="1:10" x14ac:dyDescent="0.25">
      <c r="A87" s="4">
        <v>36</v>
      </c>
      <c r="B87" s="5">
        <v>2.66</v>
      </c>
      <c r="C87" s="5">
        <v>1</v>
      </c>
      <c r="D87" s="6">
        <f t="shared" si="0"/>
        <v>516.84</v>
      </c>
      <c r="E87" s="6">
        <f t="shared" si="1"/>
        <v>1374.7944000000002</v>
      </c>
      <c r="F87" s="6">
        <f t="shared" si="2"/>
        <v>2467.6021999999998</v>
      </c>
      <c r="G87" s="6">
        <f t="shared" si="3"/>
        <v>1092.8077999999996</v>
      </c>
      <c r="H87" s="1"/>
      <c r="I87" s="1"/>
      <c r="J87" s="1"/>
    </row>
    <row r="88" spans="1:10" x14ac:dyDescent="0.25">
      <c r="A88" s="4">
        <v>37</v>
      </c>
      <c r="B88" s="5">
        <v>2.86</v>
      </c>
      <c r="C88" s="5">
        <v>3</v>
      </c>
      <c r="D88" s="6">
        <f t="shared" si="0"/>
        <v>1213.48</v>
      </c>
      <c r="E88" s="6">
        <f t="shared" si="1"/>
        <v>3470.5527999999999</v>
      </c>
      <c r="F88" s="6">
        <f t="shared" si="2"/>
        <v>2653.1361999999999</v>
      </c>
      <c r="G88" s="6">
        <f t="shared" si="3"/>
        <v>-817.41660000000002</v>
      </c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30" x14ac:dyDescent="0.25">
      <c r="A90" s="19" t="s">
        <v>6</v>
      </c>
      <c r="B90" s="4">
        <f>SUM(B82:B88)</f>
        <v>50.3</v>
      </c>
      <c r="C90" s="7">
        <f>SUMPRODUCT(B82:B88, C82:C88)/SUM(B82:B88)</f>
        <v>2.0510934393638172</v>
      </c>
      <c r="D90" s="2">
        <f>SUMPRODUCT(B82:B88, D82:D88)/SUM(B82:B88)</f>
        <v>872.52721073558632</v>
      </c>
      <c r="E90" s="2">
        <f>SUM(E82:E88)</f>
        <v>43888.118699999992</v>
      </c>
      <c r="F90" s="2">
        <f>SUM(F82:F88)</f>
        <v>46661.800999999992</v>
      </c>
      <c r="G90" s="2">
        <f>F90-E90</f>
        <v>2773.6823000000004</v>
      </c>
      <c r="H90" s="1"/>
      <c r="I90" s="1"/>
      <c r="J90" s="1"/>
    </row>
    <row r="91" spans="1:10" x14ac:dyDescent="0.25">
      <c r="A91" s="8"/>
      <c r="B91" s="9"/>
      <c r="C91" s="10"/>
      <c r="D91" s="11"/>
      <c r="E91" s="11"/>
      <c r="F91" s="11"/>
      <c r="G91" s="1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8" t="s">
        <v>17</v>
      </c>
      <c r="G92" s="18" t="s">
        <v>3</v>
      </c>
      <c r="H92" s="18" t="s">
        <v>4</v>
      </c>
      <c r="I92" s="18" t="s">
        <v>5</v>
      </c>
      <c r="J92" s="18" t="s">
        <v>27</v>
      </c>
    </row>
    <row r="93" spans="1:10" x14ac:dyDescent="0.25">
      <c r="A93" s="1"/>
      <c r="B93" s="1"/>
      <c r="C93" s="1"/>
      <c r="D93" s="1"/>
      <c r="E93" s="1"/>
      <c r="F93" s="13">
        <v>2</v>
      </c>
      <c r="G93" s="12">
        <f>IF(F93=1, 516.84, IF(F93=2, 852.79, IF(F93=3, 1213.48, IF(F93=4, 1705.58, 0))))</f>
        <v>852.79</v>
      </c>
      <c r="H93" s="12">
        <f>B90*G93</f>
        <v>42895.336999999992</v>
      </c>
      <c r="I93" s="2">
        <f>F90</f>
        <v>46661.800999999992</v>
      </c>
      <c r="J93" s="2">
        <f>I93-H93</f>
        <v>3766.4639999999999</v>
      </c>
    </row>
    <row r="94" spans="1:10" x14ac:dyDescent="0.25">
      <c r="A94" s="13" t="s">
        <v>35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8" t="s">
        <v>24</v>
      </c>
      <c r="B95" s="4">
        <v>10915</v>
      </c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8" t="s">
        <v>25</v>
      </c>
      <c r="B96" s="4" t="s">
        <v>31</v>
      </c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8" t="s">
        <v>0</v>
      </c>
      <c r="B98" s="18" t="s">
        <v>1</v>
      </c>
      <c r="C98" s="18" t="s">
        <v>2</v>
      </c>
      <c r="D98" s="18" t="s">
        <v>32</v>
      </c>
      <c r="E98" s="18" t="s">
        <v>4</v>
      </c>
      <c r="F98" s="18" t="s">
        <v>5</v>
      </c>
      <c r="G98" s="18" t="s">
        <v>27</v>
      </c>
      <c r="H98" s="1"/>
      <c r="I98" s="1"/>
      <c r="J98" s="1"/>
    </row>
    <row r="99" spans="1:10" x14ac:dyDescent="0.25">
      <c r="A99" s="13">
        <v>3</v>
      </c>
      <c r="B99" s="15">
        <v>18.87</v>
      </c>
      <c r="C99" s="5">
        <v>2</v>
      </c>
      <c r="D99" s="6">
        <f t="shared" ref="D99:D105" si="4">IF(C99=1, 516.84, IF(C99=2, 852.79, IF(C99=3, 1213.48, IF(C99=4, 1705.58, 0))))</f>
        <v>852.79</v>
      </c>
      <c r="E99" s="6">
        <f t="shared" ref="E99:E105" si="5">B99*D99</f>
        <v>16092.147300000001</v>
      </c>
      <c r="F99" s="6">
        <f t="shared" ref="F99:F105" si="6">B99*927.67</f>
        <v>17505.132900000001</v>
      </c>
      <c r="G99" s="6">
        <f t="shared" ref="G99:G105" si="7">F99-E99</f>
        <v>1412.9856</v>
      </c>
      <c r="H99" s="1"/>
      <c r="I99" s="1"/>
      <c r="J99" s="1"/>
    </row>
    <row r="100" spans="1:10" x14ac:dyDescent="0.25">
      <c r="A100" s="13">
        <v>4</v>
      </c>
      <c r="B100" s="15">
        <v>4.51</v>
      </c>
      <c r="C100" s="5">
        <v>2</v>
      </c>
      <c r="D100" s="6">
        <f t="shared" si="4"/>
        <v>852.79</v>
      </c>
      <c r="E100" s="6">
        <f t="shared" si="5"/>
        <v>3846.0828999999999</v>
      </c>
      <c r="F100" s="6">
        <f t="shared" si="6"/>
        <v>4183.7916999999998</v>
      </c>
      <c r="G100" s="6">
        <f t="shared" si="7"/>
        <v>337.70879999999988</v>
      </c>
      <c r="H100" s="1"/>
      <c r="I100" s="1"/>
      <c r="J100" s="1"/>
    </row>
    <row r="101" spans="1:10" x14ac:dyDescent="0.25">
      <c r="A101" s="13">
        <v>5</v>
      </c>
      <c r="B101" s="15">
        <v>11.53</v>
      </c>
      <c r="C101" s="5">
        <v>2</v>
      </c>
      <c r="D101" s="6">
        <f t="shared" si="4"/>
        <v>852.79</v>
      </c>
      <c r="E101" s="6">
        <f t="shared" si="5"/>
        <v>9832.6686999999984</v>
      </c>
      <c r="F101" s="6">
        <f t="shared" si="6"/>
        <v>10696.035099999999</v>
      </c>
      <c r="G101" s="6">
        <f t="shared" si="7"/>
        <v>863.36640000000079</v>
      </c>
      <c r="H101" s="1"/>
      <c r="I101" s="1"/>
      <c r="J101" s="1"/>
    </row>
    <row r="102" spans="1:10" x14ac:dyDescent="0.25">
      <c r="A102" s="13">
        <v>8</v>
      </c>
      <c r="B102" s="15">
        <v>4.9400000000000004</v>
      </c>
      <c r="C102" s="5">
        <v>2</v>
      </c>
      <c r="D102" s="6">
        <f t="shared" si="4"/>
        <v>852.79</v>
      </c>
      <c r="E102" s="6">
        <f t="shared" si="5"/>
        <v>4212.7826000000005</v>
      </c>
      <c r="F102" s="6">
        <f t="shared" si="6"/>
        <v>4582.6898000000001</v>
      </c>
      <c r="G102" s="6">
        <f t="shared" si="7"/>
        <v>369.90719999999965</v>
      </c>
      <c r="H102" s="1"/>
      <c r="I102" s="1"/>
      <c r="J102" s="1"/>
    </row>
    <row r="103" spans="1:10" x14ac:dyDescent="0.25">
      <c r="A103" s="13">
        <v>9</v>
      </c>
      <c r="B103" s="15">
        <v>20.350000000000001</v>
      </c>
      <c r="C103" s="5">
        <v>1</v>
      </c>
      <c r="D103" s="6">
        <f t="shared" si="4"/>
        <v>516.84</v>
      </c>
      <c r="E103" s="6">
        <f t="shared" si="5"/>
        <v>10517.694000000001</v>
      </c>
      <c r="F103" s="6">
        <f t="shared" si="6"/>
        <v>18878.084500000001</v>
      </c>
      <c r="G103" s="6">
        <f t="shared" si="7"/>
        <v>8360.3904999999995</v>
      </c>
      <c r="H103" s="1"/>
      <c r="I103" s="1"/>
      <c r="J103" s="1"/>
    </row>
    <row r="104" spans="1:10" x14ac:dyDescent="0.25">
      <c r="A104" s="13">
        <v>10</v>
      </c>
      <c r="B104" s="15">
        <v>19.89</v>
      </c>
      <c r="C104" s="5">
        <v>2</v>
      </c>
      <c r="D104" s="6">
        <f t="shared" si="4"/>
        <v>852.79</v>
      </c>
      <c r="E104" s="6">
        <f t="shared" si="5"/>
        <v>16961.9931</v>
      </c>
      <c r="F104" s="6">
        <f t="shared" si="6"/>
        <v>18451.356299999999</v>
      </c>
      <c r="G104" s="6">
        <f t="shared" si="7"/>
        <v>1489.3631999999998</v>
      </c>
      <c r="H104" s="1"/>
      <c r="I104" s="1"/>
      <c r="J104" s="1"/>
    </row>
    <row r="105" spans="1:10" x14ac:dyDescent="0.25">
      <c r="A105" s="13">
        <v>13</v>
      </c>
      <c r="B105" s="15">
        <v>17.03</v>
      </c>
      <c r="C105" s="5">
        <v>2</v>
      </c>
      <c r="D105" s="6">
        <f t="shared" si="4"/>
        <v>852.79</v>
      </c>
      <c r="E105" s="6">
        <f t="shared" si="5"/>
        <v>14523.0137</v>
      </c>
      <c r="F105" s="6">
        <f t="shared" si="6"/>
        <v>15798.2201</v>
      </c>
      <c r="G105" s="6">
        <f t="shared" si="7"/>
        <v>1275.2064000000009</v>
      </c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30" x14ac:dyDescent="0.25">
      <c r="A107" s="19" t="s">
        <v>6</v>
      </c>
      <c r="B107" s="4">
        <f>SUM(B99:B105)</f>
        <v>97.12</v>
      </c>
      <c r="C107" s="7">
        <f>SUMPRODUCT(B99:B105, C99:C105)/SUM(B99:B105)</f>
        <v>1.7904654036243823</v>
      </c>
      <c r="D107" s="2">
        <f>SUMPRODUCT(B99:B105, D99:D105)/SUM(B99:B105)</f>
        <v>782.39685234761112</v>
      </c>
      <c r="E107" s="2">
        <f>SUM(E99:E105)</f>
        <v>75986.382299999997</v>
      </c>
      <c r="F107" s="2">
        <f>SUM(F99:F105)</f>
        <v>90095.310400000002</v>
      </c>
      <c r="G107" s="2">
        <f>F107-E107</f>
        <v>14108.928100000005</v>
      </c>
      <c r="H107" s="1"/>
      <c r="I107" s="1"/>
      <c r="J107" s="1"/>
    </row>
    <row r="108" spans="1:10" x14ac:dyDescent="0.25">
      <c r="A108" s="8"/>
      <c r="B108" s="9"/>
      <c r="C108" s="10"/>
      <c r="D108" s="11"/>
      <c r="E108" s="11"/>
      <c r="F108" s="11"/>
      <c r="G108" s="1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8" t="s">
        <v>17</v>
      </c>
      <c r="G109" s="18" t="s">
        <v>3</v>
      </c>
      <c r="H109" s="18" t="s">
        <v>4</v>
      </c>
      <c r="I109" s="18" t="s">
        <v>5</v>
      </c>
      <c r="J109" s="18" t="s">
        <v>27</v>
      </c>
    </row>
    <row r="110" spans="1:10" x14ac:dyDescent="0.25">
      <c r="A110" s="1"/>
      <c r="B110" s="1"/>
      <c r="C110" s="1"/>
      <c r="D110" s="1"/>
      <c r="E110" s="1"/>
      <c r="F110" s="13">
        <v>2</v>
      </c>
      <c r="G110" s="12">
        <f>IF(F110=1, 516.84, IF(F110=2, 852.79, IF(F110=3, 1213.48, IF(F110=4, 1705.58, 0))))</f>
        <v>852.79</v>
      </c>
      <c r="H110" s="12">
        <f>B107*G110</f>
        <v>82822.964800000002</v>
      </c>
      <c r="I110" s="2">
        <f>F107</f>
        <v>90095.310400000002</v>
      </c>
      <c r="J110" s="2">
        <f>I110-H110</f>
        <v>7272.3456000000006</v>
      </c>
    </row>
    <row r="111" spans="1:10" x14ac:dyDescent="0.25">
      <c r="A111" s="13" t="s">
        <v>35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8" t="s">
        <v>24</v>
      </c>
      <c r="B112" s="4">
        <v>10816</v>
      </c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8" t="s">
        <v>25</v>
      </c>
      <c r="B113" s="4" t="s">
        <v>37</v>
      </c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8" t="s">
        <v>0</v>
      </c>
      <c r="B115" s="18" t="s">
        <v>1</v>
      </c>
      <c r="C115" s="18" t="s">
        <v>2</v>
      </c>
      <c r="D115" s="18" t="s">
        <v>32</v>
      </c>
      <c r="E115" s="18" t="s">
        <v>4</v>
      </c>
      <c r="F115" s="18" t="s">
        <v>5</v>
      </c>
      <c r="G115" s="18" t="s">
        <v>27</v>
      </c>
      <c r="H115" s="1"/>
      <c r="I115" s="1"/>
      <c r="J115" s="1"/>
    </row>
    <row r="116" spans="1:10" x14ac:dyDescent="0.25">
      <c r="A116" s="13">
        <v>1</v>
      </c>
      <c r="B116" s="15">
        <v>2.19</v>
      </c>
      <c r="C116" s="5">
        <v>4</v>
      </c>
      <c r="D116" s="6">
        <f t="shared" ref="D116:D127" si="8">IF(C116=1, 516.84, IF(C116=2, 852.79, IF(C116=3, 1213.48, IF(C116=4, 1705.58, 0))))</f>
        <v>1705.58</v>
      </c>
      <c r="E116" s="6">
        <f>B116*D116</f>
        <v>3735.2201999999997</v>
      </c>
      <c r="F116" s="6">
        <f t="shared" ref="F116:F127" si="9">B116*927.67</f>
        <v>2031.5972999999999</v>
      </c>
      <c r="G116" s="6">
        <f>F116-E116</f>
        <v>-1703.6228999999998</v>
      </c>
      <c r="H116" s="1"/>
      <c r="I116" s="1"/>
      <c r="J116" s="1"/>
    </row>
    <row r="117" spans="1:10" x14ac:dyDescent="0.25">
      <c r="A117" s="13">
        <v>2</v>
      </c>
      <c r="B117" s="15">
        <v>7.38</v>
      </c>
      <c r="C117" s="5">
        <v>4</v>
      </c>
      <c r="D117" s="6">
        <f t="shared" si="8"/>
        <v>1705.58</v>
      </c>
      <c r="E117" s="6">
        <f>B117*D117</f>
        <v>12587.180399999999</v>
      </c>
      <c r="F117" s="6">
        <f t="shared" si="9"/>
        <v>6846.2046</v>
      </c>
      <c r="G117" s="6">
        <f>F117-E117</f>
        <v>-5740.9757999999993</v>
      </c>
      <c r="H117" s="1"/>
      <c r="I117" s="1"/>
      <c r="J117" s="1"/>
    </row>
    <row r="118" spans="1:10" x14ac:dyDescent="0.25">
      <c r="A118" s="13">
        <v>3</v>
      </c>
      <c r="B118" s="15">
        <v>16.510000000000002</v>
      </c>
      <c r="C118" s="5">
        <v>4</v>
      </c>
      <c r="D118" s="6">
        <f t="shared" si="8"/>
        <v>1705.58</v>
      </c>
      <c r="E118" s="6">
        <f>B118*D118</f>
        <v>28159.125800000002</v>
      </c>
      <c r="F118" s="6">
        <f t="shared" si="9"/>
        <v>15315.831700000001</v>
      </c>
      <c r="G118" s="6">
        <f>F118-E118</f>
        <v>-12843.294100000001</v>
      </c>
      <c r="H118" s="1"/>
      <c r="I118" s="1"/>
      <c r="J118" s="1"/>
    </row>
    <row r="119" spans="1:10" x14ac:dyDescent="0.25">
      <c r="A119" s="13">
        <v>4</v>
      </c>
      <c r="B119" s="15">
        <v>2.9</v>
      </c>
      <c r="C119" s="5">
        <v>3</v>
      </c>
      <c r="D119" s="6">
        <f t="shared" si="8"/>
        <v>1213.48</v>
      </c>
      <c r="E119" s="6">
        <f>B119*D119</f>
        <v>3519.0920000000001</v>
      </c>
      <c r="F119" s="6">
        <f t="shared" si="9"/>
        <v>2690.2429999999999</v>
      </c>
      <c r="G119" s="6">
        <f>F119-E119</f>
        <v>-828.84900000000016</v>
      </c>
      <c r="H119" s="1"/>
      <c r="I119" s="1"/>
      <c r="J119" s="1"/>
    </row>
    <row r="120" spans="1:10" x14ac:dyDescent="0.25">
      <c r="A120" s="13">
        <v>5</v>
      </c>
      <c r="B120" s="15">
        <v>4.13</v>
      </c>
      <c r="C120" s="5">
        <v>3</v>
      </c>
      <c r="D120" s="6">
        <f t="shared" si="8"/>
        <v>1213.48</v>
      </c>
      <c r="E120" s="6">
        <f>B120*D120</f>
        <v>5011.6724000000004</v>
      </c>
      <c r="F120" s="6">
        <f t="shared" si="9"/>
        <v>3831.2770999999998</v>
      </c>
      <c r="G120" s="6">
        <f>F120-E120</f>
        <v>-1180.3953000000006</v>
      </c>
      <c r="H120" s="1"/>
      <c r="I120" s="1"/>
      <c r="J120" s="1"/>
    </row>
    <row r="121" spans="1:10" x14ac:dyDescent="0.25">
      <c r="A121" s="13">
        <v>6</v>
      </c>
      <c r="B121" s="15">
        <v>1.31</v>
      </c>
      <c r="C121" s="5">
        <v>4</v>
      </c>
      <c r="D121" s="6">
        <f t="shared" si="8"/>
        <v>1705.58</v>
      </c>
      <c r="E121" s="6">
        <f t="shared" ref="E121" si="10">B121*D121</f>
        <v>2234.3098</v>
      </c>
      <c r="F121" s="6">
        <f t="shared" si="9"/>
        <v>1215.2476999999999</v>
      </c>
      <c r="G121" s="6">
        <f t="shared" ref="G121:G127" si="11">F121-E121</f>
        <v>-1019.0621000000001</v>
      </c>
      <c r="H121" s="1"/>
      <c r="I121" s="1"/>
      <c r="J121" s="1"/>
    </row>
    <row r="122" spans="1:10" x14ac:dyDescent="0.25">
      <c r="A122" s="13">
        <v>7</v>
      </c>
      <c r="B122" s="15">
        <v>6.53</v>
      </c>
      <c r="C122" s="5">
        <v>3</v>
      </c>
      <c r="D122" s="6">
        <f t="shared" si="8"/>
        <v>1213.48</v>
      </c>
      <c r="E122" s="6">
        <f>B122*D122</f>
        <v>7924.0244000000002</v>
      </c>
      <c r="F122" s="6">
        <f t="shared" si="9"/>
        <v>6057.6850999999997</v>
      </c>
      <c r="G122" s="6">
        <f t="shared" si="11"/>
        <v>-1866.3393000000005</v>
      </c>
      <c r="H122" s="1"/>
      <c r="I122" s="1"/>
      <c r="J122" s="1"/>
    </row>
    <row r="123" spans="1:10" x14ac:dyDescent="0.25">
      <c r="A123" s="13">
        <v>8</v>
      </c>
      <c r="B123" s="15">
        <v>6.05</v>
      </c>
      <c r="C123" s="5">
        <v>4</v>
      </c>
      <c r="D123" s="6">
        <f t="shared" si="8"/>
        <v>1705.58</v>
      </c>
      <c r="E123" s="6">
        <f t="shared" ref="E123:E127" si="12">B123*D123</f>
        <v>10318.759</v>
      </c>
      <c r="F123" s="6">
        <f t="shared" si="9"/>
        <v>5612.4034999999994</v>
      </c>
      <c r="G123" s="6">
        <f t="shared" si="11"/>
        <v>-4706.3555000000006</v>
      </c>
      <c r="H123" s="1"/>
      <c r="I123" s="1"/>
      <c r="J123" s="1"/>
    </row>
    <row r="124" spans="1:10" x14ac:dyDescent="0.25">
      <c r="A124" s="13"/>
      <c r="B124" s="15"/>
      <c r="C124" s="5"/>
      <c r="D124" s="6">
        <f t="shared" si="8"/>
        <v>0</v>
      </c>
      <c r="E124" s="6">
        <f t="shared" si="12"/>
        <v>0</v>
      </c>
      <c r="F124" s="6">
        <f t="shared" si="9"/>
        <v>0</v>
      </c>
      <c r="G124" s="6">
        <f t="shared" si="11"/>
        <v>0</v>
      </c>
      <c r="H124" s="1"/>
      <c r="I124" s="1"/>
      <c r="J124" s="1"/>
    </row>
    <row r="125" spans="1:10" x14ac:dyDescent="0.25">
      <c r="A125" s="13"/>
      <c r="B125" s="15"/>
      <c r="C125" s="5"/>
      <c r="D125" s="6">
        <f t="shared" si="8"/>
        <v>0</v>
      </c>
      <c r="E125" s="6">
        <f t="shared" si="12"/>
        <v>0</v>
      </c>
      <c r="F125" s="6">
        <f t="shared" si="9"/>
        <v>0</v>
      </c>
      <c r="G125" s="6">
        <f t="shared" si="11"/>
        <v>0</v>
      </c>
      <c r="H125" s="1"/>
      <c r="I125" s="1"/>
      <c r="J125" s="1"/>
    </row>
    <row r="126" spans="1:10" x14ac:dyDescent="0.25">
      <c r="A126" s="13"/>
      <c r="B126" s="15"/>
      <c r="C126" s="5"/>
      <c r="D126" s="6">
        <f t="shared" si="8"/>
        <v>0</v>
      </c>
      <c r="E126" s="6">
        <f t="shared" si="12"/>
        <v>0</v>
      </c>
      <c r="F126" s="6">
        <f t="shared" si="9"/>
        <v>0</v>
      </c>
      <c r="G126" s="6">
        <f t="shared" si="11"/>
        <v>0</v>
      </c>
      <c r="H126" s="1"/>
      <c r="I126" s="1"/>
      <c r="J126" s="1"/>
    </row>
    <row r="127" spans="1:10" x14ac:dyDescent="0.25">
      <c r="A127" s="13"/>
      <c r="B127" s="15"/>
      <c r="C127" s="5"/>
      <c r="D127" s="6">
        <f t="shared" si="8"/>
        <v>0</v>
      </c>
      <c r="E127" s="6">
        <f t="shared" si="12"/>
        <v>0</v>
      </c>
      <c r="F127" s="6">
        <f t="shared" si="9"/>
        <v>0</v>
      </c>
      <c r="G127" s="6">
        <f t="shared" si="11"/>
        <v>0</v>
      </c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30" x14ac:dyDescent="0.25">
      <c r="A129" s="19" t="s">
        <v>6</v>
      </c>
      <c r="B129" s="4">
        <f>SUM(B116:B127)</f>
        <v>47</v>
      </c>
      <c r="C129" s="7">
        <f>SUMPRODUCT(B116:B127, C116:C127)/SUM(B116:B127)</f>
        <v>3.7114893617021276</v>
      </c>
      <c r="D129" s="2">
        <f>SUMPRODUCT(B116:B127, D116:D127)/SUM(B116:B127)</f>
        <v>1563.6039148936172</v>
      </c>
      <c r="E129" s="2">
        <f>SUM(E116:E127)</f>
        <v>73489.384000000005</v>
      </c>
      <c r="F129" s="2">
        <f>SUM(F116:F127)</f>
        <v>43600.49</v>
      </c>
      <c r="G129" s="2">
        <f>F129-E129</f>
        <v>-29888.894000000008</v>
      </c>
      <c r="H129" s="1"/>
      <c r="I129" s="1"/>
      <c r="J129" s="1"/>
    </row>
    <row r="130" spans="1:10" x14ac:dyDescent="0.25">
      <c r="A130" s="8"/>
      <c r="B130" s="9"/>
      <c r="C130" s="10"/>
      <c r="D130" s="11"/>
      <c r="E130" s="11"/>
      <c r="F130" s="11"/>
      <c r="G130" s="1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8" t="s">
        <v>17</v>
      </c>
      <c r="G131" s="18" t="s">
        <v>3</v>
      </c>
      <c r="H131" s="18" t="s">
        <v>4</v>
      </c>
      <c r="I131" s="18" t="s">
        <v>5</v>
      </c>
      <c r="J131" s="18" t="s">
        <v>27</v>
      </c>
    </row>
    <row r="132" spans="1:10" x14ac:dyDescent="0.25">
      <c r="A132" s="1"/>
      <c r="B132" s="1"/>
      <c r="C132" s="1"/>
      <c r="D132" s="1"/>
      <c r="E132" s="1"/>
      <c r="F132" s="13">
        <v>4</v>
      </c>
      <c r="G132" s="12">
        <f>IF(F132=1, 516.84, IF(F132=2, 852.79, IF(F132=3, 1213.48, IF(F132=4, 1705.58, 0))))</f>
        <v>1705.58</v>
      </c>
      <c r="H132" s="12">
        <f>B129*G132</f>
        <v>80162.259999999995</v>
      </c>
      <c r="I132" s="2">
        <f>F129</f>
        <v>43600.49</v>
      </c>
      <c r="J132" s="2">
        <f>I132-H132</f>
        <v>-36561.769999999997</v>
      </c>
    </row>
  </sheetData>
  <conditionalFormatting sqref="A4:A25">
    <cfRule type="containsText" dxfId="23" priority="26" operator="containsText" text="A FAZER">
      <formula>NOT(ISERROR(SEARCH("A FAZER",A4)))</formula>
    </cfRule>
    <cfRule type="containsText" dxfId="22" priority="27" operator="containsText" text="ANDAMENTO">
      <formula>NOT(ISERROR(SEARCH("ANDAMENTO",A4)))</formula>
    </cfRule>
    <cfRule type="containsText" dxfId="21" priority="28" operator="containsText" text="BAIXADO">
      <formula>NOT(ISERROR(SEARCH("BAIXADO",A4)))</formula>
    </cfRule>
  </conditionalFormatting>
  <conditionalFormatting sqref="J2">
    <cfRule type="colorScale" priority="35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1:A2">
    <cfRule type="containsText" dxfId="20" priority="32" operator="containsText" text="A FAZER">
      <formula>NOT(ISERROR(SEARCH("A FAZER",A1)))</formula>
    </cfRule>
    <cfRule type="containsText" dxfId="19" priority="33" operator="containsText" text="ANDAMENTO">
      <formula>NOT(ISERROR(SEARCH("ANDAMENTO",A1)))</formula>
    </cfRule>
    <cfRule type="containsText" dxfId="18" priority="34" operator="containsText" text="BAIXADO">
      <formula>NOT(ISERROR(SEARCH("BAIXADO",A1)))</formula>
    </cfRule>
  </conditionalFormatting>
  <conditionalFormatting sqref="K2">
    <cfRule type="colorScale" priority="31">
      <colorScale>
        <cfvo type="num" val="0"/>
        <cfvo type="num" val="0"/>
        <color theme="5" tint="0.59999389629810485"/>
        <color theme="9" tint="0.59999389629810485"/>
      </colorScale>
    </cfRule>
  </conditionalFormatting>
  <conditionalFormatting sqref="J14">
    <cfRule type="colorScale" priority="30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25">
    <cfRule type="colorScale" priority="29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26:A48">
    <cfRule type="containsText" dxfId="17" priority="21" operator="containsText" text="A FAZER">
      <formula>NOT(ISERROR(SEARCH("A FAZER",A26)))</formula>
    </cfRule>
    <cfRule type="containsText" dxfId="16" priority="22" operator="containsText" text="ANDAMENTO">
      <formula>NOT(ISERROR(SEARCH("ANDAMENTO",A26)))</formula>
    </cfRule>
    <cfRule type="containsText" dxfId="15" priority="23" operator="containsText" text="BAIXADO">
      <formula>NOT(ISERROR(SEARCH("BAIXADO",A26)))</formula>
    </cfRule>
  </conditionalFormatting>
  <conditionalFormatting sqref="J37">
    <cfRule type="colorScale" priority="25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48">
    <cfRule type="colorScale" priority="24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J62">
    <cfRule type="colorScale" priority="20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49:A62">
    <cfRule type="containsText" dxfId="14" priority="17" operator="containsText" text="A FAZER">
      <formula>NOT(ISERROR(SEARCH("A FAZER",A49)))</formula>
    </cfRule>
    <cfRule type="containsText" dxfId="13" priority="18" operator="containsText" text="ANDAMENTO">
      <formula>NOT(ISERROR(SEARCH("ANDAMENTO",A49)))</formula>
    </cfRule>
    <cfRule type="containsText" dxfId="12" priority="19" operator="containsText" text="BAIXADO">
      <formula>NOT(ISERROR(SEARCH("BAIXADO",A49)))</formula>
    </cfRule>
  </conditionalFormatting>
  <conditionalFormatting sqref="A63:A76">
    <cfRule type="containsText" dxfId="11" priority="13" operator="containsText" text="A FAZER">
      <formula>NOT(ISERROR(SEARCH("A FAZER",A63)))</formula>
    </cfRule>
    <cfRule type="containsText" dxfId="10" priority="14" operator="containsText" text="ANDAMENTO">
      <formula>NOT(ISERROR(SEARCH("ANDAMENTO",A63)))</formula>
    </cfRule>
    <cfRule type="containsText" dxfId="9" priority="15" operator="containsText" text="BAIXADO">
      <formula>NOT(ISERROR(SEARCH("BAIXADO",A63)))</formula>
    </cfRule>
  </conditionalFormatting>
  <conditionalFormatting sqref="J76">
    <cfRule type="colorScale" priority="16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77:A93">
    <cfRule type="containsText" dxfId="8" priority="9" operator="containsText" text="A FAZER">
      <formula>NOT(ISERROR(SEARCH("A FAZER",A77)))</formula>
    </cfRule>
    <cfRule type="containsText" dxfId="7" priority="10" operator="containsText" text="ANDAMENTO">
      <formula>NOT(ISERROR(SEARCH("ANDAMENTO",A77)))</formula>
    </cfRule>
    <cfRule type="containsText" dxfId="6" priority="11" operator="containsText" text="BAIXADO">
      <formula>NOT(ISERROR(SEARCH("BAIXADO",A77)))</formula>
    </cfRule>
  </conditionalFormatting>
  <conditionalFormatting sqref="J93">
    <cfRule type="colorScale" priority="12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94:A110">
    <cfRule type="containsText" dxfId="5" priority="5" operator="containsText" text="A FAZER">
      <formula>NOT(ISERROR(SEARCH("A FAZER",A94)))</formula>
    </cfRule>
    <cfRule type="containsText" dxfId="4" priority="6" operator="containsText" text="ANDAMENTO">
      <formula>NOT(ISERROR(SEARCH("ANDAMENTO",A94)))</formula>
    </cfRule>
    <cfRule type="containsText" dxfId="3" priority="7" operator="containsText" text="BAIXADO">
      <formula>NOT(ISERROR(SEARCH("BAIXADO",A94)))</formula>
    </cfRule>
  </conditionalFormatting>
  <conditionalFormatting sqref="J110">
    <cfRule type="colorScale" priority="8">
      <colorScale>
        <cfvo type="num" val="0"/>
        <cfvo type="num" val="0"/>
        <color theme="5" tint="0.39997558519241921"/>
        <color theme="9" tint="0.59999389629810485"/>
      </colorScale>
    </cfRule>
  </conditionalFormatting>
  <conditionalFormatting sqref="A111:A132">
    <cfRule type="containsText" dxfId="2" priority="1" operator="containsText" text="A FAZER">
      <formula>NOT(ISERROR(SEARCH("A FAZER",A111)))</formula>
    </cfRule>
    <cfRule type="containsText" dxfId="1" priority="2" operator="containsText" text="ANDAMENTO">
      <formula>NOT(ISERROR(SEARCH("ANDAMENTO",A111)))</formula>
    </cfRule>
    <cfRule type="containsText" dxfId="0" priority="3" operator="containsText" text="BAIXADO">
      <formula>NOT(ISERROR(SEARCH("BAIXADO",A111)))</formula>
    </cfRule>
  </conditionalFormatting>
  <conditionalFormatting sqref="J132">
    <cfRule type="colorScale" priority="4">
      <colorScale>
        <cfvo type="num" val="0"/>
        <cfvo type="num" val="0"/>
        <color theme="5" tint="0.39997558519241921"/>
        <color theme="9" tint="0.59999389629810485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JUNHO</vt:lpstr>
      <vt:lpstr>JULHO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Yuri Ferri</dc:creator>
  <cp:lastModifiedBy>Thales Yuri Ferri</cp:lastModifiedBy>
  <dcterms:created xsi:type="dcterms:W3CDTF">2026-06-15T17:11:16Z</dcterms:created>
  <dcterms:modified xsi:type="dcterms:W3CDTF">2026-06-22T13:24:04Z</dcterms:modified>
</cp:coreProperties>
</file>